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25.xml"/>
  <Override ContentType="application/vnd.openxmlformats-officedocument.spreadsheetml.externalLink+xml" PartName="/xl/externalLinks/externalLink50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3.xml"/>
  <Override ContentType="application/vnd.openxmlformats-officedocument.spreadsheetml.externalLink+xml" PartName="/xl/externalLinks/externalLink59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42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43.xml"/>
  <Override ContentType="application/vnd.openxmlformats-officedocument.spreadsheetml.externalLink+xml" PartName="/xl/externalLinks/externalLink26.xml"/>
  <Override ContentType="application/vnd.openxmlformats-officedocument.spreadsheetml.externalLink+xml" PartName="/xl/externalLinks/externalLink35.xml"/>
  <Override ContentType="application/vnd.openxmlformats-officedocument.spreadsheetml.externalLink+xml" PartName="/xl/externalLinks/externalLink51.xml"/>
  <Override ContentType="application/vnd.openxmlformats-officedocument.spreadsheetml.externalLink+xml" PartName="/xl/externalLinks/externalLink60.xml"/>
  <Override ContentType="application/vnd.openxmlformats-officedocument.spreadsheetml.externalLink+xml" PartName="/xl/externalLinks/externalLink34.xml"/>
  <Override ContentType="application/vnd.openxmlformats-officedocument.spreadsheetml.externalLink+xml" PartName="/xl/externalLinks/externalLink52.xml"/>
  <Override ContentType="application/vnd.openxmlformats-officedocument.spreadsheetml.externalLink+xml" PartName="/xl/externalLinks/externalLink17.xml"/>
  <Override ContentType="application/vnd.openxmlformats-officedocument.spreadsheetml.externalLink+xml" PartName="/xl/externalLinks/externalLink49.xml"/>
  <Override ContentType="application/vnd.openxmlformats-officedocument.spreadsheetml.externalLink+xml" PartName="/xl/externalLinks/externalLink23.xml"/>
  <Override ContentType="application/vnd.openxmlformats-officedocument.spreadsheetml.externalLink+xml" PartName="/xl/externalLinks/externalLink36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40.xml"/>
  <Override ContentType="application/vnd.openxmlformats-officedocument.spreadsheetml.externalLink+xml" PartName="/xl/externalLinks/externalLink53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24.xml"/>
  <Override ContentType="application/vnd.openxmlformats-officedocument.spreadsheetml.externalLink+xml" PartName="/xl/externalLinks/externalLink37.xml"/>
  <Override ContentType="application/vnd.openxmlformats-officedocument.spreadsheetml.externalLink+xml" PartName="/xl/externalLinks/externalLink19.xml"/>
  <Override ContentType="application/vnd.openxmlformats-officedocument.spreadsheetml.externalLink+xml" PartName="/xl/externalLinks/externalLink54.xml"/>
  <Override ContentType="application/vnd.openxmlformats-officedocument.spreadsheetml.externalLink+xml" PartName="/xl/externalLinks/externalLink41.xml"/>
  <Override ContentType="application/vnd.openxmlformats-officedocument.spreadsheetml.externalLink+xml" PartName="/xl/externalLinks/externalLink55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38.xml"/>
  <Override ContentType="application/vnd.openxmlformats-officedocument.spreadsheetml.externalLink+xml" PartName="/xl/externalLinks/externalLink20.xml"/>
  <Override ContentType="application/vnd.openxmlformats-officedocument.spreadsheetml.externalLink+xml" PartName="/xl/externalLinks/externalLink46.xml"/>
  <Override ContentType="application/vnd.openxmlformats-officedocument.spreadsheetml.externalLink+xml" PartName="/xl/externalLinks/externalLink29.xml"/>
  <Override ContentType="application/vnd.openxmlformats-officedocument.spreadsheetml.externalLink+xml" PartName="/xl/externalLinks/externalLink48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21.xml"/>
  <Override ContentType="application/vnd.openxmlformats-officedocument.spreadsheetml.externalLink+xml" PartName="/xl/externalLinks/externalLink22.xml"/>
  <Override ContentType="application/vnd.openxmlformats-officedocument.spreadsheetml.externalLink+xml" PartName="/xl/externalLinks/externalLink39.xml"/>
  <Override ContentType="application/vnd.openxmlformats-officedocument.spreadsheetml.externalLink+xml" PartName="/xl/externalLinks/externalLink47.xml"/>
  <Override ContentType="application/vnd.openxmlformats-officedocument.spreadsheetml.externalLink+xml" PartName="/xl/externalLinks/externalLink30.xml"/>
  <Override ContentType="application/vnd.openxmlformats-officedocument.spreadsheetml.externalLink+xml" PartName="/xl/externalLinks/externalLink56.xml"/>
  <Override ContentType="application/vnd.openxmlformats-officedocument.spreadsheetml.externalLink+xml" PartName="/xl/externalLinks/externalLink31.xml"/>
  <Override ContentType="application/vnd.openxmlformats-officedocument.spreadsheetml.externalLink+xml" PartName="/xl/externalLinks/externalLink61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27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44.xml"/>
  <Override ContentType="application/vnd.openxmlformats-officedocument.spreadsheetml.externalLink+xml" PartName="/xl/externalLinks/externalLink57.xml"/>
  <Override ContentType="application/vnd.openxmlformats-officedocument.spreadsheetml.externalLink+xml" PartName="/xl/externalLinks/externalLink3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2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58.xml"/>
  <Override ContentType="application/vnd.openxmlformats-officedocument.spreadsheetml.externalLink+xml" PartName="/xl/externalLinks/externalLink28.xml"/>
  <Override ContentType="application/vnd.openxmlformats-officedocument.spreadsheetml.externalLink+xml" PartName="/xl/externalLinks/externalLink45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ta Propuesta" sheetId="1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</externalReferences>
  <definedNames>
    <definedName name="_____________________T123456">{"COUNT",#N/A,FALSE,"AB"}</definedName>
    <definedName name="_____________________T12347">{"COUNT",#N/A,FALSE,"AB"}</definedName>
    <definedName name="__________________T123456">{"COUNT",#N/A,FALSE,"AB"}</definedName>
    <definedName name="__________________T12347">{"COUNT",#N/A,FALSE,"AB"}</definedName>
    <definedName name="______________T123456">{"COUNT",#N/A,FALSE,"AB"}</definedName>
    <definedName name="______________T12347">{"COUNT",#N/A,FALSE,"AB"}</definedName>
    <definedName name="____________z2">{"Sch00",#N/A,FALSE,"1";"Contents",#N/A,FALSE,"1"}</definedName>
    <definedName name="_________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z2">{"Sch00",#N/A,FALSE,"1";"Contents",#N/A,FALSE,"1"}</definedName>
    <definedName name="________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z2">{"Sch00",#N/A,FALSE,"1";"Contents",#N/A,FALSE,"1"}</definedName>
    <definedName name="_______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eva2">{"DCF",#N/A,FALSE,"CF"}</definedName>
    <definedName name="_________eva2_1">{"DCF",#N/A,FALSE,"CF"}</definedName>
    <definedName name="_________eva2_2">{"DCF",#N/A,FALSE,"CF"}</definedName>
    <definedName name="_________eva2_3">{"DCF",#N/A,FALSE,"CF"}</definedName>
    <definedName name="_________eva2_4">{"DCF",#N/A,FALSE,"CF"}</definedName>
    <definedName name="_________eva2_5">{"DCF",#N/A,FALSE,"CF"}</definedName>
    <definedName name="_________z2">{"Sch00",#N/A,FALSE,"1";"Contents",#N/A,FALSE,"1"}</definedName>
    <definedName name="______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eva2">{"DCF",#N/A,FALSE,"CF"}</definedName>
    <definedName name="________eva2_1">{"DCF",#N/A,FALSE,"CF"}</definedName>
    <definedName name="________eva2_2">{"DCF",#N/A,FALSE,"CF"}</definedName>
    <definedName name="________eva2_3">{"DCF",#N/A,FALSE,"CF"}</definedName>
    <definedName name="________eva2_4">{"DCF",#N/A,FALSE,"CF"}</definedName>
    <definedName name="________eva2_5">{"DCF",#N/A,FALSE,"CF"}</definedName>
    <definedName name="________ll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_lll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_z2">{"Sch00",#N/A,FALSE,"1";"Contents",#N/A,FALSE,"1"}</definedName>
    <definedName name="_____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eva2">{"DCF",#N/A,FALSE,"CF"}</definedName>
    <definedName name="_______eva2_1">{"DCF",#N/A,FALSE,"CF"}</definedName>
    <definedName name="_______eva2_2">{"DCF",#N/A,FALSE,"CF"}</definedName>
    <definedName name="_______eva2_3">{"DCF",#N/A,FALSE,"CF"}</definedName>
    <definedName name="_______eva2_4">{"DCF",#N/A,FALSE,"CF"}</definedName>
    <definedName name="_______eva2_5">{"DCF",#N/A,FALSE,"CF"}</definedName>
    <definedName name="_______ll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_lll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_T123456">{"COUNT",#N/A,FALSE,"AB"}</definedName>
    <definedName name="_______T12347">{"COUNT",#N/A,FALSE,"AB"}</definedName>
    <definedName name="_______z2">{"Sch00",#N/A,FALSE,"1";"Contents",#N/A,FALSE,"1"}</definedName>
    <definedName name="____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eva2">{"DCF",#N/A,FALSE,"CF"}</definedName>
    <definedName name="______eva2_1">{"DCF",#N/A,FALSE,"CF"}</definedName>
    <definedName name="______eva2_2">{"DCF",#N/A,FALSE,"CF"}</definedName>
    <definedName name="______eva2_3">{"DCF",#N/A,FALSE,"CF"}</definedName>
    <definedName name="______eva2_4">{"DCF",#N/A,FALSE,"CF"}</definedName>
    <definedName name="______eva2_5">{"DCF",#N/A,FALSE,"CF"}</definedName>
    <definedName name="______ll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__lll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__z2">{"Sch00",#N/A,FALSE,"1";"Contents",#N/A,FALSE,"1"}</definedName>
    <definedName name="___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Co50">{#N/A,"DR",FALSE,"increm pf";#N/A,"MAMSI",FALSE,"increm pf";#N/A,"MAXI",FALSE,"increm pf";#N/A,"PCAM",FALSE,"increm pf";#N/A,"PHSV",FALSE,"increm pf";#N/A,"SIE",FALSE,"increm pf"}</definedName>
    <definedName name="_____T123456">{"COUNT",#N/A,FALSE,"AB"}</definedName>
    <definedName name="_____T12347">{"COUNT",#N/A,FALSE,"AB"}</definedName>
    <definedName name="_____z2">{"Sch00",#N/A,FALSE,"1";"Contents",#N/A,FALSE,"1"}</definedName>
    <definedName name="__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eva2">{"DCF",#N/A,FALSE,"CF"}</definedName>
    <definedName name="____eva2_1">{"DCF",#N/A,FALSE,"CF"}</definedName>
    <definedName name="____eva2_2">{"DCF",#N/A,FALSE,"CF"}</definedName>
    <definedName name="____eva2_3">{"DCF",#N/A,FALSE,"CF"}</definedName>
    <definedName name="____eva2_4">{"DCF",#N/A,FALSE,"CF"}</definedName>
    <definedName name="____eva2_5">{"DCF",#N/A,FALSE,"CF"}</definedName>
    <definedName name="____gfg2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____ll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_lll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_o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T123456">{"COUNT",#N/A,FALSE,"AB"}</definedName>
    <definedName name="____T12347">{"COUNT",#N/A,FALSE,"AB"}</definedName>
    <definedName name="____z2">{"Sch00",#N/A,FALSE,"1";"Contents",#N/A,FALSE,"1"}</definedName>
    <definedName name="_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Co50">{#N/A,"DR",FALSE,"increm pf";#N/A,"MAMSI",FALSE,"increm pf";#N/A,"MAXI",FALSE,"increm pf";#N/A,"PCAM",FALSE,"increm pf";#N/A,"PHSV",FALSE,"increm pf";#N/A,"SIE",FALSE,"increm pf"}</definedName>
    <definedName name="___eva2">{"DCF",#N/A,FALSE,"CF"}</definedName>
    <definedName name="___eva2_1">{"DCF",#N/A,FALSE,"CF"}</definedName>
    <definedName name="___eva2_2">{"DCF",#N/A,FALSE,"CF"}</definedName>
    <definedName name="___eva2_3">{"DCF",#N/A,FALSE,"CF"}</definedName>
    <definedName name="___eva2_4">{"DCF",#N/A,FALSE,"CF"}</definedName>
    <definedName name="___eva2_5">{"DCF",#N/A,FALSE,"CF"}</definedName>
    <definedName name="___gfg2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___ll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_lll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_o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pd123">{"Units A",#N/A,FALSE,"FY95SLS";"Units B",#N/A,FALSE,"FY95SLS"}</definedName>
    <definedName name="___PSM2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___PSM3">{"Pound Sterling",#N/A,TRUE,"PPD";"Pound Sterling",#N/A,TRUE,"Anaquest";"Pound Sterling",#N/A,TRUE,"Delta";"Pound Sterling",#N/A,TRUE,"INO"}</definedName>
    <definedName name="___z2">{"Sch00",#N/A,FALSE,"1";"Contents",#N/A,FALSE,"1"}</definedName>
    <definedName name="_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localSheetId="0" name="__1__123Graph_ACRECIM">'[1]Base diaria'!#REF!</definedName>
    <definedName name="__1__123Graph_ACRECIM">'[1]Base diaria'!#REF!</definedName>
    <definedName localSheetId="0" name="__123Graph_A">'[1]Base diaria'!#REF!</definedName>
    <definedName name="__123Graph_A">'[1]Base diaria'!#REF!</definedName>
    <definedName localSheetId="0" name="__123Graph_AAPORTES">[2]flujo!#REF!</definedName>
    <definedName name="__123Graph_AAPORTES">[2]flujo!#REF!</definedName>
    <definedName localSheetId="0" name="__123Graph_AAPORTESH">[3]PESP!#REF!</definedName>
    <definedName name="__123Graph_AAPORTESH">[3]PESP!#REF!</definedName>
    <definedName localSheetId="0" name="__123Graph_AAPORTJUBIPENS">[2]flujo!#REF!</definedName>
    <definedName name="__123Graph_AAPORTJUBIPENS">[2]flujo!#REF!</definedName>
    <definedName localSheetId="0" name="__123Graph_ABRABSORB">'[4]Base Anual'!#REF!</definedName>
    <definedName name="__123Graph_ABRABSORB">'[4]Base Anual'!#REF!</definedName>
    <definedName localSheetId="0" name="__123Graph_ABRADESEM">'[5]Base mensual'!#REF!</definedName>
    <definedName name="__123Graph_ABRADESEM">'[5]Base mensual'!#REF!</definedName>
    <definedName localSheetId="0" name="__123Graph_ABRAINFTC">'[5]Base mensual'!#REF!</definedName>
    <definedName name="__123Graph_ABRAINFTC">'[5]Base mensual'!#REF!</definedName>
    <definedName localSheetId="0" name="__123Graph_ABRAPBI">'[5]Base mensual'!#REF!</definedName>
    <definedName name="__123Graph_ABRAPBI">'[5]Base mensual'!#REF!</definedName>
    <definedName localSheetId="0" name="__123Graph_ABRASCA">'[5]Base mensual'!#REF!</definedName>
    <definedName name="__123Graph_ABRASCA">'[5]Base mensual'!#REF!</definedName>
    <definedName localSheetId="0" name="__123Graph_ABRASCOM">'[5]Base mensual'!#REF!</definedName>
    <definedName name="__123Graph_ABRASCOM">'[5]Base mensual'!#REF!</definedName>
    <definedName localSheetId="0" name="__123Graph_ABRASDEF">'[5]Base mensual'!#REF!</definedName>
    <definedName name="__123Graph_ABRASDEF">'[5]Base mensual'!#REF!</definedName>
    <definedName localSheetId="0" name="__123Graph_ABRASDEU">'[5]Base mensual'!#REF!</definedName>
    <definedName name="__123Graph_ABRASDEU">'[5]Base mensual'!#REF!</definedName>
    <definedName localSheetId="0" name="__123Graph_ABRASINF">'[5]Base mensual'!#REF!</definedName>
    <definedName name="__123Graph_ABRASINF">'[5]Base mensual'!#REF!</definedName>
    <definedName localSheetId="0" name="__123Graph_ABRASINFL">'[5]Base mensual'!#REF!</definedName>
    <definedName name="__123Graph_ABRASINFL">'[5]Base mensual'!#REF!</definedName>
    <definedName localSheetId="0" name="__123Graph_ABRASINFLATION">'[5]Base mensual'!#REF!</definedName>
    <definedName name="__123Graph_ABRASINFLATION">'[5]Base mensual'!#REF!</definedName>
    <definedName localSheetId="0" name="__123Graph_ABRASRIN">'[5]Base mensual'!#REF!</definedName>
    <definedName name="__123Graph_ABRASRIN">'[5]Base mensual'!#REF!</definedName>
    <definedName localSheetId="0" name="__123Graph_ABRASTASA">'[5]Base mensual'!#REF!</definedName>
    <definedName name="__123Graph_ABRASTASA">'[5]Base mensual'!#REF!</definedName>
    <definedName localSheetId="0" name="__123Graph_ABRASTASAS">'[5]Base mensual'!#REF!</definedName>
    <definedName name="__123Graph_ABRASTASAS">'[5]Base mensual'!#REF!</definedName>
    <definedName localSheetId="0" name="__123Graph_ABRASTC">'[5]Base mensual'!#REF!</definedName>
    <definedName name="__123Graph_ABRASTC">'[5]Base mensual'!#REF!</definedName>
    <definedName localSheetId="0" name="__123Graph_ABRAURINF">'[5]Base mensual'!#REF!</definedName>
    <definedName name="__123Graph_ABRAURINF">'[5]Base mensual'!#REF!</definedName>
    <definedName localSheetId="0" name="__123Graph_ACRECUSA">'[1]Base diaria'!#REF!</definedName>
    <definedName name="__123Graph_ACRECUSA">'[1]Base diaria'!#REF!</definedName>
    <definedName localSheetId="0" name="__123Graph_ACRUDO">'[6]PRECIOS-INT'!#REF!</definedName>
    <definedName name="__123Graph_ACRUDO">'[6]PRECIOS-INT'!#REF!</definedName>
    <definedName localSheetId="0" name="__123Graph_ACURACCOUNT">'[5]Base mensual'!#REF!</definedName>
    <definedName name="__123Graph_ACURACCOUNT">'[5]Base mensual'!#REF!</definedName>
    <definedName localSheetId="0" name="__123Graph_ADEFICIT">[7]DATOS!#REF!</definedName>
    <definedName name="__123Graph_ADEFICIT">[7]DATOS!#REF!</definedName>
    <definedName localSheetId="0" name="__123Graph_ADEFICUSA">'[1]Base diaria'!#REF!</definedName>
    <definedName name="__123Graph_ADEFICUSA">'[1]Base diaria'!#REF!</definedName>
    <definedName localSheetId="0" name="__123Graph_ADJONES">'[1]Base diaria'!#REF!</definedName>
    <definedName name="__123Graph_ADJONES">'[1]Base diaria'!#REF!</definedName>
    <definedName localSheetId="0" name="__123Graph_ADM">'[1]Base diaria'!#REF!</definedName>
    <definedName name="__123Graph_ADM">'[1]Base diaria'!#REF!</definedName>
    <definedName localSheetId="0" name="__123Graph_ADM2">'[1]Base diaria'!#REF!</definedName>
    <definedName name="__123Graph_ADM2">'[1]Base diaria'!#REF!</definedName>
    <definedName localSheetId="0" name="__123Graph_ADOW">'[1]Base diaria'!#REF!</definedName>
    <definedName name="__123Graph_ADOW">'[1]Base diaria'!#REF!</definedName>
    <definedName localSheetId="0" name="__123Graph_AFS">'[1]Base diaria'!#REF!</definedName>
    <definedName name="__123Graph_AFS">'[1]Base diaria'!#REF!</definedName>
    <definedName localSheetId="0" name="__123Graph_AGráfico1">'[8]RES.DESV.'!#REF!</definedName>
    <definedName name="__123Graph_AGráfico1">'[8]RES.DESV.'!#REF!</definedName>
    <definedName localSheetId="0" name="__123Graph_AINFLACION">'[5]Base mensual'!#REF!</definedName>
    <definedName name="__123Graph_AINFLACION">'[5]Base mensual'!#REF!</definedName>
    <definedName localSheetId="0" name="__123Graph_ALIRA">'[1]Base diaria'!#REF!</definedName>
    <definedName name="__123Graph_ALIRA">'[1]Base diaria'!#REF!</definedName>
    <definedName localSheetId="0" name="__123Graph_AMARCO">'[1]Base diaria'!#REF!</definedName>
    <definedName name="__123Graph_AMARCO">'[1]Base diaria'!#REF!</definedName>
    <definedName localSheetId="0" name="__123Graph_AMARYEN">'[1]Base diaria'!#REF!</definedName>
    <definedName name="__123Graph_AMARYEN">'[1]Base diaria'!#REF!</definedName>
    <definedName name="__123Graph_AOPERATINGY">'[9]Manual Input'!$AO$223:$AO$232</definedName>
    <definedName localSheetId="0" name="__123Graph_APBIJAPON">'[1]Base diaria'!#REF!</definedName>
    <definedName name="__123Graph_APBIJAPON">'[1]Base diaria'!#REF!</definedName>
    <definedName localSheetId="0" name="__123Graph_APBIREGION">'[5]Base mensual'!#REF!</definedName>
    <definedName name="__123Graph_APBIREGION">'[5]Base mensual'!#REF!</definedName>
    <definedName localSheetId="0" name="__123Graph_APENSION">[2]pens!#REF!</definedName>
    <definedName name="__123Graph_APENSION">[2]pens!#REF!</definedName>
    <definedName localSheetId="0" name="__123Graph_APRESTJUBH">[2]flujo!#REF!</definedName>
    <definedName name="__123Graph_APRESTJUBH">[2]flujo!#REF!</definedName>
    <definedName localSheetId="0" name="__123Graph_APRESTJUBM">[2]flujo!#REF!</definedName>
    <definedName name="__123Graph_APRESTJUBM">[2]flujo!#REF!</definedName>
    <definedName localSheetId="0" name="__123Graph_APRESTPENS">[2]flujo!#REF!</definedName>
    <definedName name="__123Graph_APRESTPENS">[2]flujo!#REF!</definedName>
    <definedName localSheetId="0" name="__123Graph_APRINCIPAL">'[10]Herramientas para análisis-VBA'!#REF!</definedName>
    <definedName name="__123Graph_APRINCIPAL">'[10]Herramientas para análisis-VBA'!#REF!</definedName>
    <definedName localSheetId="0" name="__123Graph_APUBLICDEFICIT">[7]DATOS!#REF!</definedName>
    <definedName name="__123Graph_APUBLICDEFICIT">[7]DATOS!#REF!</definedName>
    <definedName localSheetId="0" name="__123Graph_ARESULTPENS">[2]flujo!#REF!</definedName>
    <definedName name="__123Graph_ARESULTPENS">[2]flujo!#REF!</definedName>
    <definedName name="__123Graph_ASALESY">'[9]Manual Input'!$BG$223:$BG$232</definedName>
    <definedName localSheetId="0" name="__123Graph_AYEN">'[1]Base diaria'!#REF!</definedName>
    <definedName name="__123Graph_AYEN">'[1]Base diaria'!#REF!</definedName>
    <definedName localSheetId="0" name="__123Graph_AYEN2">'[1]Base diaria'!#REF!</definedName>
    <definedName name="__123Graph_AYEN2">'[1]Base diaria'!#REF!</definedName>
    <definedName localSheetId="0" name="__123Graph_AYEN3">'[1]Base diaria'!#REF!</definedName>
    <definedName name="__123Graph_AYEN3">'[1]Base diaria'!#REF!</definedName>
    <definedName localSheetId="0" name="__123Graph_AYENDM">'[1]Base diaria'!#REF!</definedName>
    <definedName name="__123Graph_AYENDM">'[1]Base diaria'!#REF!</definedName>
    <definedName localSheetId="0" name="__123Graph_B">[7]DATOS!#REF!</definedName>
    <definedName name="__123Graph_B">[7]DATOS!#REF!</definedName>
    <definedName localSheetId="0" name="__123Graph_BAPORTES">[2]flujo!#REF!</definedName>
    <definedName name="__123Graph_BAPORTES">[2]flujo!#REF!</definedName>
    <definedName localSheetId="0" name="__123Graph_BAPORTJUBIPENS">[2]flujo!#REF!</definedName>
    <definedName name="__123Graph_BAPORTJUBIPENS">[2]flujo!#REF!</definedName>
    <definedName localSheetId="0" name="__123Graph_BBRAINFTC">'[5]Base mensual'!#REF!</definedName>
    <definedName name="__123Graph_BBRAINFTC">'[5]Base mensual'!#REF!</definedName>
    <definedName localSheetId="0" name="__123Graph_BBRAPBI">'[5]Base mensual'!#REF!</definedName>
    <definedName name="__123Graph_BBRAPBI">'[5]Base mensual'!#REF!</definedName>
    <definedName localSheetId="0" name="__123Graph_BBRASCA">'[5]Base mensual'!#REF!</definedName>
    <definedName name="__123Graph_BBRASCA">'[5]Base mensual'!#REF!</definedName>
    <definedName localSheetId="0" name="__123Graph_BBRASDEU">'[5]Base mensual'!#REF!</definedName>
    <definedName name="__123Graph_BBRASDEU">'[5]Base mensual'!#REF!</definedName>
    <definedName localSheetId="0" name="__123Graph_BBRASINF">'[5]Base mensual'!#REF!</definedName>
    <definedName name="__123Graph_BBRASINF">'[5]Base mensual'!#REF!</definedName>
    <definedName localSheetId="0" name="__123Graph_BBRASTC">'[5]Base mensual'!#REF!</definedName>
    <definedName name="__123Graph_BBRASTC">'[5]Base mensual'!#REF!</definedName>
    <definedName localSheetId="0" name="__123Graph_BBRAURINF">'[5]Base mensual'!#REF!</definedName>
    <definedName name="__123Graph_BBRAURINF">'[5]Base mensual'!#REF!</definedName>
    <definedName localSheetId="0" name="__123Graph_BCRUDO">'[6]PRECIOS-INT'!#REF!</definedName>
    <definedName name="__123Graph_BCRUDO">'[6]PRECIOS-INT'!#REF!</definedName>
    <definedName localSheetId="0" name="__123Graph_BCRUDO2">'[6]PRECIOS-INT'!#REF!</definedName>
    <definedName name="__123Graph_BCRUDO2">'[6]PRECIOS-INT'!#REF!</definedName>
    <definedName localSheetId="0" name="__123Graph_BCURACCOUNT">'[5]Base mensual'!#REF!</definedName>
    <definedName name="__123Graph_BCURACCOUNT">'[5]Base mensual'!#REF!</definedName>
    <definedName localSheetId="0" name="__123Graph_BDEFICIT">[7]DATOS!#REF!</definedName>
    <definedName name="__123Graph_BDEFICIT">[7]DATOS!#REF!</definedName>
    <definedName localSheetId="0" name="__123Graph_BMARYEN">'[1]Base diaria'!#REF!</definedName>
    <definedName name="__123Graph_BMARYEN">'[1]Base diaria'!#REF!</definedName>
    <definedName name="__123Graph_BOPERATINGY">'[9]Manual Input'!$AP$223:$AP$232</definedName>
    <definedName localSheetId="0" name="__123Graph_BPBIREGION">'[5]Base mensual'!#REF!</definedName>
    <definedName name="__123Graph_BPBIREGION">'[5]Base mensual'!#REF!</definedName>
    <definedName name="__123Graph_BPENSION">[3]P!$D$465:$CA$465</definedName>
    <definedName localSheetId="0" name="__123Graph_BPRESTJUBH">[2]flujo!#REF!</definedName>
    <definedName name="__123Graph_BPRESTJUBH">[2]flujo!#REF!</definedName>
    <definedName localSheetId="0" name="__123Graph_BPRESTJUBM">[2]flujo!#REF!</definedName>
    <definedName name="__123Graph_BPRESTJUBM">[2]flujo!#REF!</definedName>
    <definedName localSheetId="0" name="__123Graph_BPRESTPENS">[2]flujo!#REF!</definedName>
    <definedName name="__123Graph_BPRESTPENS">[2]flujo!#REF!</definedName>
    <definedName localSheetId="0" name="__123Graph_BPUBLICDEFICIT">[7]DATOS!#REF!</definedName>
    <definedName name="__123Graph_BPUBLICDEFICIT">[7]DATOS!#REF!</definedName>
    <definedName localSheetId="0" name="__123Graph_BRESULT">[2]flujo!#REF!</definedName>
    <definedName name="__123Graph_BRESULT">[2]flujo!#REF!</definedName>
    <definedName localSheetId="0" name="__123Graph_BRESULTH">[2]flujo!#REF!</definedName>
    <definedName name="__123Graph_BRESULTH">[2]flujo!#REF!</definedName>
    <definedName localSheetId="0" name="__123Graph_BRESULTM">[2]flujo!#REF!</definedName>
    <definedName name="__123Graph_BRESULTM">[2]flujo!#REF!</definedName>
    <definedName name="__123Graph_BSALESY">'[9]Manual Input'!$BH$223:$BH$232</definedName>
    <definedName localSheetId="0" name="__123Graph_BYENDM">'[1]Base diaria'!#REF!</definedName>
    <definedName name="__123Graph_BYENDM">'[1]Base diaria'!#REF!</definedName>
    <definedName name="__123Graph_C">[3]P!$D$836:$CA$836</definedName>
    <definedName localSheetId="0" name="__123Graph_CAPORTJUBIPENS">[2]flujo!#REF!</definedName>
    <definedName name="__123Graph_CAPORTJUBIPENS">[2]flujo!#REF!</definedName>
    <definedName localSheetId="0" name="__123Graph_CBRASTC">'[5]Base mensual'!#REF!</definedName>
    <definedName name="__123Graph_CBRASTC">'[5]Base mensual'!#REF!</definedName>
    <definedName localSheetId="0" name="__123Graph_CCRUDO">'[6]PRECIOS-INT'!#REF!</definedName>
    <definedName name="__123Graph_CCRUDO">'[6]PRECIOS-INT'!#REF!</definedName>
    <definedName localSheetId="0" name="__123Graph_CCRUDO2">'[6]PRECIOS-INT'!#REF!</definedName>
    <definedName name="__123Graph_CCRUDO2">'[6]PRECIOS-INT'!#REF!</definedName>
    <definedName name="__123Graph_COPERATINGY">'[9]Manual Input'!$AQ$223:$AQ$232</definedName>
    <definedName localSheetId="0" name="__123Graph_CPRESTJUBH">[2]flujo!#REF!</definedName>
    <definedName name="__123Graph_CPRESTJUBH">[2]flujo!#REF!</definedName>
    <definedName localSheetId="0" name="__123Graph_CPRESTJUBM">[2]flujo!#REF!</definedName>
    <definedName name="__123Graph_CPRESTJUBM">[2]flujo!#REF!</definedName>
    <definedName name="__123Graph_CSALESY">'[9]Manual Input'!$BI$223:$BI$232</definedName>
    <definedName localSheetId="0" name="__123Graph_D">[11]Proforma!#REF!</definedName>
    <definedName name="__123Graph_D">[11]Proforma!#REF!</definedName>
    <definedName name="__123Graph_E">[12]Assum!$H$16:$H$22</definedName>
    <definedName localSheetId="0" name="__123Graph_F">'[13]COSTOFINANC.'!#REF!</definedName>
    <definedName name="__123Graph_F">'[13]COSTOFINANC.'!#REF!</definedName>
    <definedName localSheetId="0" name="__123Graph_LBL_APRINCIPAL">'[10]Herramientas para análisis-VBA'!#REF!</definedName>
    <definedName name="__123Graph_LBL_APRINCIPAL">'[10]Herramientas para análisis-VBA'!#REF!</definedName>
    <definedName localSheetId="0" name="__123Graph_X">'[1]Base diaria'!#REF!</definedName>
    <definedName name="__123Graph_X">'[1]Base diaria'!#REF!</definedName>
    <definedName localSheetId="0" name="__123Graph_XAPORTESH">[3]PESP!#REF!</definedName>
    <definedName name="__123Graph_XAPORTESH">[3]PESP!#REF!</definedName>
    <definedName localSheetId="0" name="__123Graph_XAPORTJUBIPENS">[2]flujo!#REF!</definedName>
    <definedName name="__123Graph_XAPORTJUBIPENS">[2]flujo!#REF!</definedName>
    <definedName localSheetId="0" name="__123Graph_XBRADESEM">'[5]Base mensual'!#REF!</definedName>
    <definedName name="__123Graph_XBRADESEM">'[5]Base mensual'!#REF!</definedName>
    <definedName localSheetId="0" name="__123Graph_XBRAINFTC">'[5]Base mensual'!#REF!</definedName>
    <definedName name="__123Graph_XBRAINFTC">'[5]Base mensual'!#REF!</definedName>
    <definedName localSheetId="0" name="__123Graph_XBRAPBI">'[5]Base mensual'!#REF!</definedName>
    <definedName name="__123Graph_XBRAPBI">'[5]Base mensual'!#REF!</definedName>
    <definedName localSheetId="0" name="__123Graph_XBRASCA">'[5]Base mensual'!#REF!</definedName>
    <definedName name="__123Graph_XBRASCA">'[5]Base mensual'!#REF!</definedName>
    <definedName localSheetId="0" name="__123Graph_XBRASCOM">'[5]Base mensual'!#REF!</definedName>
    <definedName name="__123Graph_XBRASCOM">'[5]Base mensual'!#REF!</definedName>
    <definedName localSheetId="0" name="__123Graph_XBRASDEF">'[5]Base mensual'!#REF!</definedName>
    <definedName name="__123Graph_XBRASDEF">'[5]Base mensual'!#REF!</definedName>
    <definedName localSheetId="0" name="__123Graph_XBRASDEU">'[5]Base mensual'!#REF!</definedName>
    <definedName name="__123Graph_XBRASDEU">'[5]Base mensual'!#REF!</definedName>
    <definedName localSheetId="0" name="__123Graph_XBRASINF">'[5]Base mensual'!#REF!</definedName>
    <definedName name="__123Graph_XBRASINF">'[5]Base mensual'!#REF!</definedName>
    <definedName localSheetId="0" name="__123Graph_XBRASINFL">'[5]Base mensual'!#REF!</definedName>
    <definedName name="__123Graph_XBRASINFL">'[5]Base mensual'!#REF!</definedName>
    <definedName localSheetId="0" name="__123Graph_XBRASINFLATION">'[5]Base mensual'!#REF!</definedName>
    <definedName name="__123Graph_XBRASINFLATION">'[5]Base mensual'!#REF!</definedName>
    <definedName localSheetId="0" name="__123Graph_XBRASRIN">'[5]Base mensual'!#REF!</definedName>
    <definedName name="__123Graph_XBRASRIN">'[5]Base mensual'!#REF!</definedName>
    <definedName localSheetId="0" name="__123Graph_XBRASTASA">'[5]Base mensual'!#REF!</definedName>
    <definedName name="__123Graph_XBRASTASA">'[5]Base mensual'!#REF!</definedName>
    <definedName localSheetId="0" name="__123Graph_XBRASTASAS">'[5]Base mensual'!#REF!</definedName>
    <definedName name="__123Graph_XBRASTASAS">'[5]Base mensual'!#REF!</definedName>
    <definedName localSheetId="0" name="__123Graph_XBRASTC">'[5]Base mensual'!#REF!</definedName>
    <definedName name="__123Graph_XBRASTC">'[5]Base mensual'!#REF!</definedName>
    <definedName localSheetId="0" name="__123Graph_XBRAURINF">'[5]Base mensual'!#REF!</definedName>
    <definedName name="__123Graph_XBRAURINF">'[5]Base mensual'!#REF!</definedName>
    <definedName localSheetId="0" name="__123Graph_XCRECUSA">'[1]Base diaria'!#REF!</definedName>
    <definedName name="__123Graph_XCRECUSA">'[1]Base diaria'!#REF!</definedName>
    <definedName localSheetId="0" name="__123Graph_XCRUDO">'[6]PRECIOS-INT'!#REF!</definedName>
    <definedName name="__123Graph_XCRUDO">'[6]PRECIOS-INT'!#REF!</definedName>
    <definedName localSheetId="0" name="__123Graph_XCRUDO2">'[6]PRECIOS-INT'!#REF!</definedName>
    <definedName name="__123Graph_XCRUDO2">'[6]PRECIOS-INT'!#REF!</definedName>
    <definedName localSheetId="0" name="__123Graph_XCURACCOUNT">'[5]Base mensual'!#REF!</definedName>
    <definedName name="__123Graph_XCURACCOUNT">'[5]Base mensual'!#REF!</definedName>
    <definedName localSheetId="0" name="__123Graph_XDEFICUSA">'[1]Base diaria'!#REF!</definedName>
    <definedName name="__123Graph_XDEFICUSA">'[1]Base diaria'!#REF!</definedName>
    <definedName localSheetId="0" name="__123Graph_XDJONES">'[1]Base diaria'!#REF!</definedName>
    <definedName name="__123Graph_XDJONES">'[1]Base diaria'!#REF!</definedName>
    <definedName localSheetId="0" name="__123Graph_XDM">'[1]Base diaria'!#REF!</definedName>
    <definedName name="__123Graph_XDM">'[1]Base diaria'!#REF!</definedName>
    <definedName localSheetId="0" name="__123Graph_XDM2">'[1]Base diaria'!#REF!</definedName>
    <definedName name="__123Graph_XDM2">'[1]Base diaria'!#REF!</definedName>
    <definedName localSheetId="0" name="__123Graph_XDOW">'[1]Base diaria'!#REF!</definedName>
    <definedName name="__123Graph_XDOW">'[1]Base diaria'!#REF!</definedName>
    <definedName localSheetId="0" name="__123Graph_XFS">'[1]Base diaria'!#REF!</definedName>
    <definedName name="__123Graph_XFS">'[1]Base diaria'!#REF!</definedName>
    <definedName localSheetId="0" name="__123Graph_XINFLACION">'[5]Base mensual'!#REF!</definedName>
    <definedName name="__123Graph_XINFLACION">'[5]Base mensual'!#REF!</definedName>
    <definedName localSheetId="0" name="__123Graph_XLANA">'[6]PRECIOS-INT'!#REF!</definedName>
    <definedName name="__123Graph_XLANA">'[6]PRECIOS-INT'!#REF!</definedName>
    <definedName localSheetId="0" name="__123Graph_XLIBORDM">'[1]Base diaria'!#REF!</definedName>
    <definedName name="__123Graph_XLIBORDM">'[1]Base diaria'!#REF!</definedName>
    <definedName localSheetId="0" name="__123Graph_XLIRA">'[1]Base diaria'!#REF!</definedName>
    <definedName name="__123Graph_XLIRA">'[1]Base diaria'!#REF!</definedName>
    <definedName localSheetId="0" name="__123Graph_XMARCO">'[1]Base diaria'!#REF!</definedName>
    <definedName name="__123Graph_XMARCO">'[1]Base diaria'!#REF!</definedName>
    <definedName localSheetId="0" name="__123Graph_XMARYEN">'[1]Base diaria'!#REF!</definedName>
    <definedName name="__123Graph_XMARYEN">'[1]Base diaria'!#REF!</definedName>
    <definedName name="__123Graph_XOPERATINGY">'[9]Manual Input'!$AN$223:$AN$232</definedName>
    <definedName localSheetId="0" name="__123Graph_XPBIJAPON">'[6]VAR-INTER'!#REF!</definedName>
    <definedName name="__123Graph_XPBIJAPON">'[6]VAR-INTER'!#REF!</definedName>
    <definedName localSheetId="0" name="__123Graph_XPBIREGION">'[5]Base mensual'!#REF!</definedName>
    <definedName name="__123Graph_XPBIREGION">'[5]Base mensual'!#REF!</definedName>
    <definedName localSheetId="0" name="__123Graph_XPRESTJUBM">[2]flujo!#REF!</definedName>
    <definedName name="__123Graph_XPRESTJUBM">[2]flujo!#REF!</definedName>
    <definedName localSheetId="0" name="__123Graph_XPRESTPENS">[2]flujo!#REF!</definedName>
    <definedName name="__123Graph_XPRESTPENS">[2]flujo!#REF!</definedName>
    <definedName localSheetId="0" name="__123Graph_XRESULT">[2]flujo!#REF!</definedName>
    <definedName name="__123Graph_XRESULT">[2]flujo!#REF!</definedName>
    <definedName localSheetId="0" name="__123Graph_XRESULTH">[2]flujo!#REF!</definedName>
    <definedName name="__123Graph_XRESULTH">[2]flujo!#REF!</definedName>
    <definedName localSheetId="0" name="__123Graph_XRESULTM">[2]flujo!#REF!</definedName>
    <definedName name="__123Graph_XRESULTM">[2]flujo!#REF!</definedName>
    <definedName localSheetId="0" name="__123Graph_XRESULTPENS">[2]flujo!#REF!</definedName>
    <definedName name="__123Graph_XRESULTPENS">[2]flujo!#REF!</definedName>
    <definedName name="__123Graph_XSALESY">'[9]Manual Input'!$BF$223:$BF$232</definedName>
    <definedName localSheetId="0" name="__123Graph_XTASAS">'[1]Base diaria'!#REF!</definedName>
    <definedName name="__123Graph_XTASAS">'[1]Base diaria'!#REF!</definedName>
    <definedName localSheetId="0" name="__123Graph_XYEN">'[1]Base diaria'!#REF!</definedName>
    <definedName name="__123Graph_XYEN">'[1]Base diaria'!#REF!</definedName>
    <definedName localSheetId="0" name="__123Graph_XYEN2">'[1]Base diaria'!#REF!</definedName>
    <definedName name="__123Graph_XYEN2">'[1]Base diaria'!#REF!</definedName>
    <definedName localSheetId="0" name="__123Graph_XYENDM">'[1]Base diaria'!#REF!</definedName>
    <definedName name="__123Graph_XYENDM">'[1]Base diaria'!#REF!</definedName>
    <definedName localSheetId="0" name="__2__123Graph_APBI_USA">'[1]Base diaria'!#REF!</definedName>
    <definedName name="__2__123Graph_APBI_USA">'[1]Base diaria'!#REF!</definedName>
    <definedName localSheetId="0" name="__3__123Graph_BCRECIM">'[1]Base diaria'!#REF!</definedName>
    <definedName name="__3__123Graph_BCRECIM">'[1]Base diaria'!#REF!</definedName>
    <definedName localSheetId="0" name="__4__123Graph_XCRECIM">'[1]Base diaria'!#REF!</definedName>
    <definedName name="__4__123Graph_XCRECIM">'[1]Base diaria'!#REF!</definedName>
    <definedName localSheetId="0" name="__5__123Graph_XLIBORU_S">'[1]Base diaria'!#REF!</definedName>
    <definedName name="__5__123Graph_XLIBORU_S">'[1]Base diaria'!#REF!</definedName>
    <definedName localSheetId="0" name="__6__123Graph_XPBI_USA">'[1]Base diaria'!#REF!</definedName>
    <definedName name="__6__123Graph_XPBI_USA">'[1]Base diaria'!#REF!</definedName>
    <definedName name="__APW_RESTORE_DATA1__">'[14]1'!$D$7,'[14]1'!$E$7,'[14]1'!$F$7,'[14]1'!$G$7,'[14]1'!$H$7</definedName>
    <definedName name="__APW_RESTORE_DATA1020__">'[14]15'!$C$12,'[14]15'!$C$12</definedName>
    <definedName name="__APW_RESTORE_DATA1081__">'[14]16'!$C$12,'[14]16'!$C$12</definedName>
    <definedName name="__APW_RESTORE_DATA1142__">'[14]17'!$C$12,'[14]17'!$C$12</definedName>
    <definedName name="__APW_RESTORE_DATA1203__">'[14]18'!$C$12,'[14]18'!$C$12</definedName>
    <definedName name="__APW_RESTORE_DATA1264__">'[14]19'!$C$12,'[14]19'!$C$12</definedName>
    <definedName name="__APW_RESTORE_DATA1325__">'[14]20'!$C$12,'[14]20'!$C$12</definedName>
    <definedName name="__APW_RESTORE_DATA1379__">'[14]Company Descriptions'!$A$5,'[14]Company Descriptions'!$A$6,'[14]Company Descriptions'!$A$7,'[14]Company Descriptions'!$A$8,'[14]Company Descriptions'!$A$9,'[14]Company Descriptions'!$A$10,'[14]Company Descriptions'!$A$11,'[14]Company Descriptions'!$A$12,'[14]Company Descriptions'!$A$13,'[14]Company Descriptions'!$A$14,'[14]Company Descriptions'!$A$15,'[14]Company Descriptions'!$A$16,'[14]Company Descriptions'!$A$17,'[14]Company Descriptions'!$A$18,'[14]Company Descriptions'!$A$19</definedName>
    <definedName name="__APW_RESTORE_DATA1380__">'[14]Company Descriptions'!$B$5,'[14]Company Descriptions'!$B$6,'[14]Company Descriptions'!$B$7,'[14]Company Descriptions'!$B$8,'[14]Company Descriptions'!$B$9,'[14]Company Descriptions'!$B$10,'[14]Company Descriptions'!$B$11,'[14]Company Descriptions'!$B$12,'[14]Company Descriptions'!$B$13,'[14]Company Descriptions'!$B$14,'[14]Company Descriptions'!$B$15,'[14]Company Descriptions'!$B$16,'[14]Company Descriptions'!$B$17</definedName>
    <definedName name="__APW_RESTORE_DATA1381__">'[14]Company Descriptions'!$C$5,'[14]Company Descriptions'!$C$6,'[14]Company Descriptions'!$C$7,'[14]Company Descriptions'!$C$8,'[14]Company Descriptions'!$C$9,'[14]Company Descriptions'!$C$10,'[14]Company Descriptions'!$C$11,'[14]Company Descriptions'!$C$12,'[14]Company Descriptions'!$C$13</definedName>
    <definedName name="__APW_RESTORE_DATA1382__">'[14]Company Descriptions'!$D$5,'[14]Company Descriptions'!$D$6,'[14]Company Descriptions'!$D$7,'[14]Company Descriptions'!$D$8,'[14]Company Descriptions'!$D$9,'[14]Company Descriptions'!$D$10,'[14]Company Descriptions'!$D$11,'[14]Company Descriptions'!$D$12,'[14]Company Descriptions'!$D$13,'[14]Company Descriptions'!$D$14,'[14]Company Descriptions'!$D$15,'[14]Company Descriptions'!$D$16,'[14]Company Descriptions'!$D$17</definedName>
    <definedName name="__APW_RESTORE_DATA160__">'[14]1'!$D$8,'[14]1'!$E$8,'[14]1'!$F$8,'[14]1'!$G$8,'[14]1'!$H$8</definedName>
    <definedName name="__APW_RESTORE_DATA162__">'[14]1'!$D$9,'[14]1'!$E$9,'[14]1'!$F$9,'[14]1'!$G$9,'[14]1'!$H$9</definedName>
    <definedName name="__APW_RESTORE_DATA164__">'[14]1'!$D$11,'[14]1'!$E$11,'[14]1'!$F$11,'[14]1'!$G$11,'[14]1'!$H$11</definedName>
    <definedName name="__APW_RESTORE_DATA167__">'[14]1'!$D$12,'[14]1'!$E$12,'[14]1'!$F$12,'[14]1'!$G$12,'[14]1'!$H$12</definedName>
    <definedName name="__APW_RESTORE_DATA170__">'[14]1'!$D$17,'[14]1'!$E$17,'[14]1'!$F$17,'[14]1'!$G$17,'[14]1'!$H$17</definedName>
    <definedName name="__APW_RESTORE_DATA175__">'[14]1'!$D$19,'[14]1'!$E$19,'[14]1'!$F$19,'[14]1'!$G$19,'[14]1'!$H$19</definedName>
    <definedName name="__APW_RESTORE_DATA178__">'[14]1'!$D$25,'[14]1'!$E$25,'[14]1'!$F$25,'[14]1'!$G$25,'[14]1'!$H$25</definedName>
    <definedName name="__APW_RESTORE_DATA181__">'[14]1'!$D$29,'[14]1'!$E$29,'[14]1'!$F$29,'[14]1'!$G$29,'[14]1'!$H$29</definedName>
    <definedName name="__APW_RESTORE_DATA183__">'[14]1'!$D$32,'[14]1'!$E$32</definedName>
    <definedName name="__APW_RESTORE_DATA185__">'[14]1'!$D$33,'[14]1'!$E$33</definedName>
    <definedName name="__APW_RESTORE_DATA187__">'[14]1'!$D$34,'[14]1'!$E$34</definedName>
    <definedName name="__APW_RESTORE_DATA189__">'[14]1'!$D$35,'[14]1'!$E$35</definedName>
    <definedName name="__APW_RESTORE_DATA191__">'[14]1'!$D$36,'[14]1'!$E$36</definedName>
    <definedName name="__APW_RESTORE_DATA193__">'[14]1'!$D$38,'[14]1'!$E$38</definedName>
    <definedName name="__APW_RESTORE_DATA195__">'[14]1'!$D$39,'[14]1'!$E$39</definedName>
    <definedName name="__APW_RESTORE_DATA197__">'[14]1'!$D$41,'[14]1'!$E$41</definedName>
    <definedName name="__APW_RESTORE_DATA199__">'[14]1'!$D$42,'[14]1'!$E$42</definedName>
    <definedName name="__APW_RESTORE_DATA201__">'[14]1'!$D$44,'[14]1'!$E$44</definedName>
    <definedName name="__APW_RESTORE_DATA203__">'[14]1'!$D$45,'[14]1'!$E$45</definedName>
    <definedName name="__APW_RESTORE_DATA205__">'[14]1'!$D$46,'[14]1'!$E$46</definedName>
    <definedName name="__APW_RESTORE_DATA207__">'[14]1'!$D$49,'[14]1'!$E$49</definedName>
    <definedName name="__APW_RESTORE_DATA209__">'[14]1'!$D$51,'[14]1'!$E$51</definedName>
    <definedName name="__APW_RESTORE_DATA221__">'[14]2'!$D$8,'[14]2'!$E$8,'[14]2'!$F$8,'[14]2'!$G$8,'[14]2'!$H$8</definedName>
    <definedName name="__APW_RESTORE_DATA223__">'[14]2'!$D$9,'[14]2'!$E$9,'[14]2'!$F$9,'[14]2'!$G$9,'[14]2'!$H$9</definedName>
    <definedName name="__APW_RESTORE_DATA225__">'[14]2'!$D$11,'[14]2'!$E$11,'[14]2'!$F$11,'[14]2'!$G$11,'[14]2'!$H$11</definedName>
    <definedName name="__APW_RESTORE_DATA228__">'[14]2'!$D$12,'[14]2'!$E$12,'[14]2'!$F$12,'[14]2'!$G$12,'[14]2'!$H$12</definedName>
    <definedName name="__APW_RESTORE_DATA231__">'[14]2'!$D$17,'[14]2'!$E$17,'[14]2'!$F$17,'[14]2'!$G$17,'[14]2'!$H$17</definedName>
    <definedName name="__APW_RESTORE_DATA236__">'[14]2'!$D$19,'[14]2'!$E$19,'[14]2'!$F$19,'[14]2'!$G$19,'[14]2'!$H$19</definedName>
    <definedName name="__APW_RESTORE_DATA239__">'[14]2'!$D$25,'[14]2'!$E$25,'[14]2'!$F$25,'[14]2'!$G$25,'[14]2'!$H$25</definedName>
    <definedName name="__APW_RESTORE_DATA242__">'[14]2'!$D$29,'[14]2'!$E$29,'[14]2'!$F$29,'[14]2'!$G$29,'[14]2'!$H$29</definedName>
    <definedName name="__APW_RESTORE_DATA244__">'[14]2'!$D$32,'[14]2'!$E$32</definedName>
    <definedName name="__APW_RESTORE_DATA246__">'[14]2'!$D$33,'[14]2'!$E$33</definedName>
    <definedName name="__APW_RESTORE_DATA248__">'[14]2'!$D$34,'[14]2'!$E$34</definedName>
    <definedName name="__APW_RESTORE_DATA250__">'[14]2'!$D$35,'[14]2'!$E$35</definedName>
    <definedName name="__APW_RESTORE_DATA252__">'[14]2'!$D$36,'[14]2'!$E$36</definedName>
    <definedName name="__APW_RESTORE_DATA254__">'[14]2'!$D$38,'[14]2'!$E$38</definedName>
    <definedName name="__APW_RESTORE_DATA256__">'[14]2'!$D$39,'[14]2'!$E$39</definedName>
    <definedName name="__APW_RESTORE_DATA258__">'[14]2'!$D$41,'[14]2'!$E$41</definedName>
    <definedName name="__APW_RESTORE_DATA260__">'[14]2'!$D$42,'[14]2'!$E$42</definedName>
    <definedName name="__APW_RESTORE_DATA262__">'[14]2'!$D$44,'[14]2'!$E$44</definedName>
    <definedName name="__APW_RESTORE_DATA264__">'[14]2'!$D$45,'[14]2'!$E$45</definedName>
    <definedName name="__APW_RESTORE_DATA266__">'[14]2'!$D$46,'[14]2'!$E$46</definedName>
    <definedName name="__APW_RESTORE_DATA268__">'[14]2'!$D$49,'[14]2'!$E$49</definedName>
    <definedName name="__APW_RESTORE_DATA270__">'[14]2'!$D$51,'[14]2'!$E$51</definedName>
    <definedName name="__APW_RESTORE_DATA282__">'[14]3'!$D$8,'[14]3'!$E$8,'[14]3'!$F$8,'[14]3'!$G$8,'[14]3'!$H$8</definedName>
    <definedName name="__APW_RESTORE_DATA284__">'[14]3'!$D$9,'[14]3'!$E$9,'[14]3'!$F$9,'[14]3'!$G$9,'[14]3'!$H$9</definedName>
    <definedName name="__APW_RESTORE_DATA286__">'[14]3'!$D$11,'[14]3'!$E$11,'[14]3'!$F$11,'[14]3'!$G$11,'[14]3'!$H$11</definedName>
    <definedName name="__APW_RESTORE_DATA289__">'[14]3'!$D$12,'[14]3'!$E$12,'[14]3'!$F$12,'[14]3'!$G$12,'[14]3'!$H$12</definedName>
    <definedName name="__APW_RESTORE_DATA292__">'[14]3'!$D$17,'[14]3'!$E$17,'[14]3'!$F$17,'[14]3'!$G$17,'[14]3'!$H$17</definedName>
    <definedName name="__APW_RESTORE_DATA297__">'[14]3'!$D$19,'[14]3'!$E$19,'[14]3'!$F$19,'[14]3'!$G$19,'[14]3'!$H$19</definedName>
    <definedName name="__APW_RESTORE_DATA3__">'[14]2'!$D$7,'[14]2'!$E$7,'[14]2'!$F$7,'[14]2'!$G$7,'[14]2'!$H$7</definedName>
    <definedName name="__APW_RESTORE_DATA300__">'[14]3'!$D$25,'[14]3'!$E$25,'[14]3'!$F$25,'[14]3'!$G$25,'[14]3'!$H$25</definedName>
    <definedName name="__APW_RESTORE_DATA303__">'[14]3'!$D$29,'[14]3'!$E$29,'[14]3'!$F$29,'[14]3'!$G$29,'[14]3'!$H$29</definedName>
    <definedName name="__APW_RESTORE_DATA305__">'[14]3'!$D$32,'[14]3'!$E$32</definedName>
    <definedName name="__APW_RESTORE_DATA307__">'[14]3'!$D$33,'[14]3'!$E$33</definedName>
    <definedName name="__APW_RESTORE_DATA309__">'[14]3'!$D$34,'[14]3'!$E$34</definedName>
    <definedName name="__APW_RESTORE_DATA311__">'[14]3'!$D$35,'[14]3'!$E$35</definedName>
    <definedName name="__APW_RESTORE_DATA313__">'[14]3'!$D$36,'[14]3'!$E$36</definedName>
    <definedName name="__APW_RESTORE_DATA315__">'[14]3'!$D$38,'[14]3'!$E$38</definedName>
    <definedName name="__APW_RESTORE_DATA317__">'[14]3'!$D$39,'[14]3'!$E$39</definedName>
    <definedName name="__APW_RESTORE_DATA319__">'[14]3'!$D$41,'[14]3'!$E$41</definedName>
    <definedName name="__APW_RESTORE_DATA321__">'[14]3'!$D$42,'[14]3'!$E$42</definedName>
    <definedName name="__APW_RESTORE_DATA323__">'[14]3'!$D$44,'[14]3'!$E$44</definedName>
    <definedName name="__APW_RESTORE_DATA325__">'[14]3'!$D$45,'[14]3'!$E$45</definedName>
    <definedName name="__APW_RESTORE_DATA327__">'[14]3'!$D$46,'[14]3'!$E$46</definedName>
    <definedName name="__APW_RESTORE_DATA329__">'[14]3'!$D$49,'[14]3'!$E$49</definedName>
    <definedName name="__APW_RESTORE_DATA331__">'[14]3'!$D$51,'[14]3'!$E$51</definedName>
    <definedName name="__APW_RESTORE_DATA343__">'[14]4'!$D$8,'[14]4'!$E$8,'[14]4'!$F$8,'[14]4'!$G$8,'[14]4'!$H$8</definedName>
    <definedName name="__APW_RESTORE_DATA345__">'[14]4'!$D$9,'[14]4'!$E$9,'[14]4'!$F$9,'[14]4'!$G$9,'[14]4'!$H$9</definedName>
    <definedName name="__APW_RESTORE_DATA347__">'[14]4'!$D$11,'[14]4'!$E$11,'[14]4'!$F$11,'[14]4'!$G$11,'[14]4'!$H$11</definedName>
    <definedName name="__APW_RESTORE_DATA350__">'[14]4'!$D$12,'[14]4'!$E$12,'[14]4'!$F$12,'[14]4'!$G$12,'[14]4'!$H$12</definedName>
    <definedName name="__APW_RESTORE_DATA353__">'[14]4'!$D$17,'[14]4'!$E$17,'[14]4'!$F$17,'[14]4'!$G$17,'[14]4'!$H$17</definedName>
    <definedName name="__APW_RESTORE_DATA358__">'[14]4'!$D$19,'[14]4'!$E$19,'[14]4'!$F$19,'[14]4'!$G$19,'[14]4'!$H$19</definedName>
    <definedName name="__APW_RESTORE_DATA361__">'[14]4'!$D$25,'[14]4'!$E$25,'[14]4'!$F$25,'[14]4'!$G$25,'[14]4'!$H$25</definedName>
    <definedName name="__APW_RESTORE_DATA364__">'[14]4'!$D$29,'[14]4'!$E$29,'[14]4'!$F$29,'[14]4'!$G$29,'[14]4'!$H$29</definedName>
    <definedName name="__APW_RESTORE_DATA366__">'[14]4'!$D$32,'[14]4'!$E$32</definedName>
    <definedName name="__APW_RESTORE_DATA368__">'[14]4'!$D$33,'[14]4'!$E$33</definedName>
    <definedName name="__APW_RESTORE_DATA370__">'[14]4'!$D$34,'[14]4'!$E$34</definedName>
    <definedName name="__APW_RESTORE_DATA372__">'[14]4'!$D$35,'[14]4'!$E$35</definedName>
    <definedName name="__APW_RESTORE_DATA374__">'[14]4'!$D$36,'[14]4'!$E$36</definedName>
    <definedName name="__APW_RESTORE_DATA376__">'[14]4'!$D$38,'[14]4'!$E$38</definedName>
    <definedName name="__APW_RESTORE_DATA378__">'[14]4'!$D$39,'[14]4'!$E$39</definedName>
    <definedName name="__APW_RESTORE_DATA380__">'[14]4'!$D$41,'[14]4'!$E$41</definedName>
    <definedName name="__APW_RESTORE_DATA382__">'[14]4'!$D$42,'[14]4'!$E$42</definedName>
    <definedName name="__APW_RESTORE_DATA384__">'[14]4'!$D$44,'[14]4'!$E$44</definedName>
    <definedName name="__APW_RESTORE_DATA386__">'[14]4'!$D$45,'[14]4'!$E$45</definedName>
    <definedName name="__APW_RESTORE_DATA388__">'[14]4'!$D$46,'[14]4'!$E$46</definedName>
    <definedName name="__APW_RESTORE_DATA390__">'[14]4'!$D$49,'[14]4'!$E$49</definedName>
    <definedName name="__APW_RESTORE_DATA392__">'[14]4'!$D$51,'[14]4'!$E$51</definedName>
    <definedName name="__APW_RESTORE_DATA410__">'[14]5'!$C$12,'[14]5'!$C$12</definedName>
    <definedName name="__APW_RESTORE_DATA471__">'[14]6'!$C$12,'[14]6'!$C$12</definedName>
    <definedName name="__APW_RESTORE_DATA5__">'[14]3'!$D$7,'[14]3'!$E$7,'[14]3'!$F$7,'[14]3'!$G$7,'[14]3'!$H$7</definedName>
    <definedName name="__APW_RESTORE_DATA532__">'[14]7'!$C$12,'[14]7'!$C$12</definedName>
    <definedName name="__APW_RESTORE_DATA593__">'[14]8'!$C$12,'[14]8'!$C$12</definedName>
    <definedName name="__APW_RESTORE_DATA654__">'[14]9'!$C$12,'[14]9'!$C$12</definedName>
    <definedName name="__APW_RESTORE_DATA7__">'[14]4'!$D$7,'[14]4'!$E$7,'[14]4'!$F$7,'[14]4'!$G$7,'[14]4'!$H$7</definedName>
    <definedName name="__APW_RESTORE_DATA715__">'[14]10'!$C$12,'[14]10'!$C$12</definedName>
    <definedName name="__APW_RESTORE_DATA776__">'[14]11'!$C$12,'[14]11'!$C$12</definedName>
    <definedName name="__APW_RESTORE_DATA837__">'[14]12'!$C$12,'[14]12'!$C$12</definedName>
    <definedName name="__APW_RESTORE_DATA898__">'[14]13'!$C$12,'[14]13'!$C$12</definedName>
    <definedName name="__APW_RESTORE_DATA959__">'[14]14'!$C$12,'[14]14'!$C$12</definedName>
    <definedName name="__BU4">{"Page 1",#N/A,TRUE,"Sheet1";"Page 2",#N/A,TRUE,"Sheet1"}</definedName>
    <definedName name="__BU5">{"Page 1",#N/A,TRUE,"Sheet1";"Page 2",#N/A,TRUE,"Sheet1"}</definedName>
    <definedName name="__Co50">{#N/A,"DR",FALSE,"increm pf";#N/A,"MAMSI",FALSE,"increm pf";#N/A,"MAXI",FALSE,"increm pf";#N/A,"PCAM",FALSE,"increm pf";#N/A,"PHSV",FALSE,"increm pf";#N/A,"SIE",FALSE,"increm pf"}</definedName>
    <definedName name="__eva2">{"DCF",#N/A,FALSE,"CF"}</definedName>
    <definedName name="__eva2_1">{"DCF",#N/A,FALSE,"CF"}</definedName>
    <definedName name="__eva2_2">{"DCF",#N/A,FALSE,"CF"}</definedName>
    <definedName name="__eva2_3">{"DCF",#N/A,FALSE,"CF"}</definedName>
    <definedName name="__eva2_4">{"DCF",#N/A,FALSE,"CF"}</definedName>
    <definedName name="__eva2_5">{"DCF",#N/A,FALSE,"CF"}</definedName>
    <definedName name="__FDS_HYPERLINK_TOGGLE_STATE__">"ON"</definedName>
    <definedName name="__FDS_UNIQUE_RANGE_ID_GENERATOR_COUNTER">6</definedName>
    <definedName name="__FDS_USED_FOR_REUSING_RANGE_IDS_RECYCLE">{171,7408,153}</definedName>
    <definedName name="__IntlFixup">TRUE</definedName>
    <definedName name="__ll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_lll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__o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T123456">{"COUNT",#N/A,FALSE,"AB"}</definedName>
    <definedName name="__T12347">{"COUNT",#N/A,FALSE,"AB"}</definedName>
    <definedName name="__wr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_wrn2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wrn3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wrn4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wrn6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xlfn.BAHTTEXT">#NAME?</definedName>
    <definedName name="__z2">{"Sch00",#N/A,FALSE,"1";"Contents",#N/A,FALSE,"1"}</definedName>
    <definedName name="_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1_">"c1024"</definedName>
    <definedName name="_1__123Graph_AChart_1A">[15]A!$C$97:$Q$97</definedName>
    <definedName localSheetId="0" name="_1__123Graph_ACRECIM">'[1]Base diaria'!#REF!</definedName>
    <definedName name="_1__123Graph_ACRECIM">'[1]Base diaria'!#REF!</definedName>
    <definedName name="_1__FDSAUDITLINK__">{"fdsup://directions/FAT Viewer?action=UPDATE&amp;creator=factset&amp;DYN_ARGS=TRUE&amp;DOC_NAME=FAT:FQL_AUDITING_CLIENT_TEMPLATE.FAT&amp;display_string=Audit&amp;VAR:KEY=YVQJGZGTCP&amp;VAR:QUERY=RkZfQlBTX1RBTkcoQU5OLC05LDAsWSxSUCxMT0NBTCxNKQ==&amp;WINDOW=FIRST_POPUP&amp;HEIGHT=450&amp;WIDTH=","450&amp;START_MAXIMIZED=FALSE&amp;VAR:CALENDAR=US&amp;VAR:SYMBOL=14912310&amp;VAR:INDEX=9"}</definedName>
    <definedName localSheetId="0" name="_10.4">'[16]key parameter1st'!#REF!</definedName>
    <definedName name="_10.4">'[16]key parameter1st'!#REF!</definedName>
    <definedName localSheetId="0" name="_10__123Graph_CCHART_3">'[17]Historical IS'!#REF!</definedName>
    <definedName name="_10__123Graph_CCHART_3">'[17]Historical IS'!#REF!</definedName>
    <definedName name="_10__123Graph_XChart_1A">'[18]Graph 1'!$A$61:$A$112</definedName>
    <definedName localSheetId="0" name="_10__123Graph_XLIBORU_S">'[1]Base diaria'!#REF!</definedName>
    <definedName name="_10__123Graph_XLIBORU_S">'[1]Base diaria'!#REF!</definedName>
    <definedName name="_10__FDSAUDITLINK__">{"fdsup://directions/FAT Viewer?action=UPDATE&amp;creator=factset&amp;DYN_ARGS=TRUE&amp;DOC_NAME=FAT:FQL_AUDITING_CLIENT_TEMPLATE.FAT&amp;display_string=Audit&amp;VAR:KEY=YBIZGHSFWT&amp;VAR:QUERY=RkZfUEFZX1RVUk5fREFZUyhBTk4sLTksMCxZLFJQKQ==&amp;WINDOW=FIRST_POPUP&amp;HEIGHT=450&amp;WIDTH=450&amp;","START_MAXIMIZED=FALSE&amp;VAR:CALENDAR=US&amp;VAR:SYMBOL=14912310&amp;VAR:INDEX=9"}</definedName>
    <definedName name="_100__FDSAUDITLINK__">{"fdsup://Directions/FactSet Auditing Viewer?action=AUDIT_VALUE&amp;DB=129&amp;ID1=14912310&amp;VALUEID=10010&amp;SDATE=2009&amp;PERIODTYPE=ANN_STD&amp;SCFT=3&amp;window=popup_no_bar&amp;width=385&amp;height=120&amp;START_MAXIMIZED=FALSE&amp;creator=factset&amp;display_string=Audit"}</definedName>
    <definedName name="_101__FDSAUDITLINK__">{"fdsup://Directions/FactSet Auditing Viewer?action=AUDIT_VALUE&amp;DB=129&amp;ID1=14912310&amp;VALUEID=03501&amp;SDATE=2009&amp;PERIODTYPE=ANN_STD&amp;SCFT=3&amp;window=popup_no_bar&amp;width=385&amp;height=120&amp;START_MAXIMIZED=FALSE&amp;creator=factset&amp;display_string=Audit"}</definedName>
    <definedName name="_102__FDSAUDITLINK__">{"fdsup://Directions/FactSet Auditing Viewer?action=AUDIT_VALUE&amp;DB=129&amp;ID1=14912310&amp;VALUEID=10010&amp;SDATE=2007&amp;PERIODTYPE=ANN_STD&amp;SCFT=3&amp;window=popup_no_bar&amp;width=385&amp;height=120&amp;START_MAXIMIZED=FALSE&amp;creator=factset&amp;display_string=Audit"}</definedName>
    <definedName name="_103__FDSAUDITLINK__">{"fdsup://Directions/FactSet Auditing Viewer?action=AUDIT_VALUE&amp;DB=129&amp;ID1=14912310&amp;VALUEID=03501&amp;SDATE=2007&amp;PERIODTYPE=ANN_STD&amp;SCFT=3&amp;window=popup_no_bar&amp;width=385&amp;height=120&amp;START_MAXIMIZED=FALSE&amp;creator=factset&amp;display_string=Audit"}</definedName>
    <definedName name="_104__FDSAUDITLINK__">{"fdsup://Directions/FactSet Auditing Viewer?action=AUDIT_VALUE&amp;DB=129&amp;ID1=14912310&amp;VALUEID=03501&amp;SDATE=2006&amp;PERIODTYPE=ANN_STD&amp;SCFT=3&amp;window=popup_no_bar&amp;width=385&amp;height=120&amp;START_MAXIMIZED=FALSE&amp;creator=factset&amp;display_string=Audit"}</definedName>
    <definedName name="_105__FDSAUDITLINK__">{"fdsup://Directions/FactSet Auditing Viewer?action=AUDIT_VALUE&amp;DB=129&amp;ID1=14912310&amp;VALUEID=03501&amp;SDATE=2004&amp;PERIODTYPE=ANN_STD&amp;SCFT=3&amp;window=popup_no_bar&amp;width=385&amp;height=120&amp;START_MAXIMIZED=FALSE&amp;creator=factset&amp;display_string=Audit"}</definedName>
    <definedName name="_106__FDSAUDITLINK__">{"fdsup://Directions/FactSet Auditing Viewer?action=AUDIT_VALUE&amp;DB=129&amp;ID1=14912310&amp;VALUEID=10010&amp;SDATE=2010&amp;PERIODTYPE=ANN_STD&amp;SCFT=3&amp;window=popup_no_bar&amp;width=385&amp;height=120&amp;START_MAXIMIZED=FALSE&amp;creator=factset&amp;display_string=Audit"}</definedName>
    <definedName name="_107__FDSAUDITLINK__">{"fdsup://Directions/FactSet Auditing Viewer?action=AUDIT_VALUE&amp;DB=129&amp;ID1=14912310&amp;VALUEID=03351&amp;SDATE=2009&amp;PERIODTYPE=ANN_STD&amp;SCFT=3&amp;window=popup_no_bar&amp;width=385&amp;height=120&amp;START_MAXIMIZED=FALSE&amp;creator=factset&amp;display_string=Audit"}</definedName>
    <definedName name="_108__FDSAUDITLINK__">{"fdsup://directions/FAT Viewer?action=UPDATE&amp;creator=factset&amp;DYN_ARGS=TRUE&amp;DOC_NAME=FAT:FQL_AUDITING_CLIENT_TEMPLATE.FAT&amp;display_string=Audit&amp;VAR:KEY=OLIXYPEFGD&amp;VAR:QUERY=UENUQ0hHKEZGX0VQU19ESUxfQkVGX1VOVVNVQUwoQU5OLC05LDAsWSxSUCxMT0NBTCxNKSxGRl9FUFNfRElMX","0JFRl9VTlVTVUFMKEFOTiwtMSwtOSAtIDEsWSxSUCxMT0NBTCxNKSk=&amp;WINDOW=FIRST_POPUP&amp;HEIGHT=450&amp;WIDTH=450&amp;START_MAXIMIZED=FALSE&amp;VAR:CALENDAR=US&amp;VAR:SYMBOL=14912310&amp;VAR:INDEX=8"}</definedName>
    <definedName name="_109__FDSAUDITLINK__">{"fdsup://Directions/FactSet Auditing Viewer?action=AUDIT_VALUE&amp;DB=129&amp;ID1=14912310&amp;VALUEID=03351&amp;SDATE=2007&amp;PERIODTYPE=ANN_STD&amp;SCFT=3&amp;window=popup_no_bar&amp;width=385&amp;height=120&amp;START_MAXIMIZED=FALSE&amp;creator=factset&amp;display_string=Audit"}</definedName>
    <definedName localSheetId="0" name="_11__123Graph_CCHART_8">'[17]Historical IS'!#REF!</definedName>
    <definedName name="_11__123Graph_CCHART_8">'[17]Historical IS'!#REF!</definedName>
    <definedName name="_11__FDSAUDITLINK__">{"fdsup://directions/FAT Viewer?action=UPDATE&amp;creator=factset&amp;DYN_ARGS=TRUE&amp;DOC_NAME=FAT:FQL_AUDITING_CLIENT_TEMPLATE.FAT&amp;display_string=Audit&amp;VAR:KEY=YBIZGHSFWT&amp;VAR:QUERY=RkZfUEFZX1RVUk5fREFZUyhBTk4sLTksMCxZLFJQKQ==&amp;WINDOW=FIRST_POPUP&amp;HEIGHT=450&amp;WIDTH=450&amp;","START_MAXIMIZED=FALSE&amp;VAR:CALENDAR=US&amp;VAR:SYMBOL=14912310&amp;VAR:INDEX=8"}</definedName>
    <definedName name="_110__FDSAUDITLINK__">{"fdsup://Directions/FactSet Auditing Viewer?action=AUDIT_VALUE&amp;DB=129&amp;ID1=14912310&amp;VALUEID=03351&amp;SDATE=2006&amp;PERIODTYPE=ANN_STD&amp;SCFT=3&amp;window=popup_no_bar&amp;width=385&amp;height=120&amp;START_MAXIMIZED=FALSE&amp;creator=factset&amp;display_string=Audit"}</definedName>
    <definedName name="_111__FDSAUDITLINK__">{"fdsup://Directions/FactSet Auditing Viewer?action=AUDIT_VALUE&amp;DB=129&amp;ID1=14912310&amp;VALUEID=03351&amp;SDATE=2004&amp;PERIODTYPE=ANN_STD&amp;SCFT=3&amp;window=popup_no_bar&amp;width=385&amp;height=120&amp;START_MAXIMIZED=FALSE&amp;creator=factset&amp;display_string=Audit"}</definedName>
    <definedName name="_112__FDSAUDITLINK__">{"fdsup://directions/FAT Viewer?action=UPDATE&amp;creator=factset&amp;DYN_ARGS=TRUE&amp;DOC_NAME=FAT:FQL_AUDITING_CLIENT_TEMPLATE.FAT&amp;display_string=Audit&amp;VAR:KEY=OLIXYPEFGD&amp;VAR:QUERY=UENUQ0hHKEZGX0VQU19ESUxfQkVGX1VOVVNVQUwoQU5OLC05LDAsWSxSUCxMT0NBTCxNKSxGRl9FUFNfRElMX","0JFRl9VTlVTVUFMKEFOTiwtMSwtOSAtIDEsWSxSUCxMT0NBTCxNKSk=&amp;WINDOW=FIRST_POPUP&amp;HEIGHT=450&amp;WIDTH=450&amp;START_MAXIMIZED=FALSE&amp;VAR:CALENDAR=US&amp;VAR:SYMBOL=14912310&amp;VAR:INDEX=4"}</definedName>
    <definedName name="_113__FDSAUDITLINK__">{"fdsup://directions/FAT Viewer?action=UPDATE&amp;creator=factset&amp;DYN_ARGS=TRUE&amp;DOC_NAME=FAT:FQL_AUDITING_CLIENT_TEMPLATE.FAT&amp;display_string=Audit&amp;VAR:KEY=IHQLIRGTCN&amp;VAR:QUERY=RkZfTElBQlNfT1RIX1hERkRfUkVWKEFOTiwtOSwwLFksUlAsTE9DQUwsTSk=&amp;WINDOW=FIRST_POPUP&amp;HEIGH","T=450&amp;WIDTH=450&amp;START_MAXIMIZED=FALSE&amp;VAR:CALENDAR=US&amp;VAR:SYMBOL=14912310&amp;VAR:INDEX=9"}</definedName>
    <definedName name="_114__FDSAUDITLINK__">{"fdsup://directions/FAT Viewer?action=UPDATE&amp;creator=factset&amp;DYN_ARGS=TRUE&amp;DOC_NAME=FAT:FQL_AUDITING_CLIENT_TEMPLATE.FAT&amp;display_string=Audit&amp;VAR:KEY=IHQLIRGTCN&amp;VAR:QUERY=RkZfTElBQlNfT1RIX1hERkRfUkVWKEFOTiwtOSwwLFksUlAsTE9DQUwsTSk=&amp;WINDOW=FIRST_POPUP&amp;HEIGH","T=450&amp;WIDTH=450&amp;START_MAXIMIZED=FALSE&amp;VAR:CALENDAR=US&amp;VAR:SYMBOL=14912310&amp;VAR:INDEX=8"}</definedName>
    <definedName name="_115__FDSAUDITLINK__">{"fdsup://directions/FAT Viewer?action=UPDATE&amp;creator=factset&amp;DYN_ARGS=TRUE&amp;DOC_NAME=FAT:FQL_AUDITING_CLIENT_TEMPLATE.FAT&amp;display_string=Audit&amp;VAR:KEY=IHQLIRGTCN&amp;VAR:QUERY=RkZfTElBQlNfT1RIX1hERkRfUkVWKEFOTiwtOSwwLFksUlAsTE9DQUwsTSk=&amp;WINDOW=FIRST_POPUP&amp;HEIGH","T=450&amp;WIDTH=450&amp;START_MAXIMIZED=FALSE&amp;VAR:CALENDAR=US&amp;VAR:SYMBOL=14912310&amp;VAR:INDEX=7"}</definedName>
    <definedName name="_116__FDSAUDITLINK__">{"fdsup://directions/FAT Viewer?action=UPDATE&amp;creator=factset&amp;DYN_ARGS=TRUE&amp;DOC_NAME=FAT:FQL_AUDITING_CLIENT_TEMPLATE.FAT&amp;display_string=Audit&amp;VAR:KEY=IHQLIRGTCN&amp;VAR:QUERY=RkZfTElBQlNfT1RIX1hERkRfUkVWKEFOTiwtOSwwLFksUlAsTE9DQUwsTSk=&amp;WINDOW=FIRST_POPUP&amp;HEIGH","T=450&amp;WIDTH=450&amp;START_MAXIMIZED=FALSE&amp;VAR:CALENDAR=US&amp;VAR:SYMBOL=14912310&amp;VAR:INDEX=6"}</definedName>
    <definedName name="_117__FDSAUDITLINK__">{"fdsup://directions/FAT Viewer?action=UPDATE&amp;creator=factset&amp;DYN_ARGS=TRUE&amp;DOC_NAME=FAT:FQL_AUDITING_CLIENT_TEMPLATE.FAT&amp;display_string=Audit&amp;VAR:KEY=IHQLIRGTCN&amp;VAR:QUERY=RkZfTElBQlNfT1RIX1hERkRfUkVWKEFOTiwtOSwwLFksUlAsTE9DQUwsTSk=&amp;WINDOW=FIRST_POPUP&amp;HEIGH","T=450&amp;WIDTH=450&amp;START_MAXIMIZED=FALSE&amp;VAR:CALENDAR=US&amp;VAR:SYMBOL=14912310&amp;VAR:INDEX=5"}</definedName>
    <definedName name="_118__FDSAUDITLINK__">{"fdsup://directions/FAT Viewer?action=UPDATE&amp;creator=factset&amp;DYN_ARGS=TRUE&amp;DOC_NAME=FAT:FQL_AUDITING_CLIENT_TEMPLATE.FAT&amp;display_string=Audit&amp;VAR:KEY=IHQLIRGTCN&amp;VAR:QUERY=RkZfTElBQlNfT1RIX1hERkRfUkVWKEFOTiwtOSwwLFksUlAsTE9DQUwsTSk=&amp;WINDOW=FIRST_POPUP&amp;HEIGH","T=450&amp;WIDTH=450&amp;START_MAXIMIZED=FALSE&amp;VAR:CALENDAR=US&amp;VAR:SYMBOL=14912310&amp;VAR:INDEX=4"}</definedName>
    <definedName name="_119__FDSAUDITLINK__">{"fdsup://directions/FAT Viewer?action=UPDATE&amp;creator=factset&amp;DYN_ARGS=TRUE&amp;DOC_NAME=FAT:FQL_AUDITING_CLIENT_TEMPLATE.FAT&amp;display_string=Audit&amp;VAR:KEY=IHQLIRGTCN&amp;VAR:QUERY=RkZfTElBQlNfT1RIX1hERkRfUkVWKEFOTiwtOSwwLFksUlAsTE9DQUwsTSk=&amp;WINDOW=FIRST_POPUP&amp;HEIGH","T=450&amp;WIDTH=450&amp;START_MAXIMIZED=FALSE&amp;VAR:CALENDAR=US&amp;VAR:SYMBOL=14912310&amp;VAR:INDEX=3"}</definedName>
    <definedName localSheetId="0" name="_12__123Graph_DCHART_1">'[17]Historical IS'!#REF!</definedName>
    <definedName name="_12__123Graph_DCHART_1">'[17]Historical IS'!#REF!</definedName>
    <definedName name="_12__123Graph_XChart_58B">'[18]Graph 1'!$A$61:$A$112</definedName>
    <definedName localSheetId="0" name="_12__123Graph_XCRECIM">'[1]Base diaria'!#REF!</definedName>
    <definedName name="_12__123Graph_XCRECIM">'[1]Base diaria'!#REF!</definedName>
    <definedName localSheetId="0" name="_12__123Graph_XPBI_USA">'[1]Base diaria'!#REF!</definedName>
    <definedName name="_12__123Graph_XPBI_USA">'[1]Base diaria'!#REF!</definedName>
    <definedName name="_12__FDSAUDITLINK__">{"fdsup://directions/FAT Viewer?action=UPDATE&amp;creator=factset&amp;DYN_ARGS=TRUE&amp;DOC_NAME=FAT:FQL_AUDITING_CLIENT_TEMPLATE.FAT&amp;display_string=Audit&amp;VAR:KEY=YBIZGHSFWT&amp;VAR:QUERY=RkZfUEFZX1RVUk5fREFZUyhBTk4sLTksMCxZLFJQKQ==&amp;WINDOW=FIRST_POPUP&amp;HEIGHT=450&amp;WIDTH=450&amp;","START_MAXIMIZED=FALSE&amp;VAR:CALENDAR=US&amp;VAR:SYMBOL=14912310&amp;VAR:INDEX=7"}</definedName>
    <definedName name="_120__FDSAUDITLINK__">{"fdsup://directions/FAT Viewer?action=UPDATE&amp;creator=factset&amp;DYN_ARGS=TRUE&amp;DOC_NAME=FAT:FQL_AUDITING_CLIENT_TEMPLATE.FAT&amp;display_string=Audit&amp;VAR:KEY=IHQLIRGTCN&amp;VAR:QUERY=RkZfTElBQlNfT1RIX1hERkRfUkVWKEFOTiwtOSwwLFksUlAsTE9DQUwsTSk=&amp;WINDOW=FIRST_POPUP&amp;HEIGH","T=450&amp;WIDTH=450&amp;START_MAXIMIZED=FALSE&amp;VAR:CALENDAR=US&amp;VAR:SYMBOL=14912310&amp;VAR:INDEX=2"}</definedName>
    <definedName name="_121__FDSAUDITLINK__">{"fdsup://directions/FAT Viewer?action=UPDATE&amp;creator=factset&amp;DYN_ARGS=TRUE&amp;DOC_NAME=FAT:FQL_AUDITING_CLIENT_TEMPLATE.FAT&amp;display_string=Audit&amp;VAR:KEY=IHQLIRGTCN&amp;VAR:QUERY=RkZfTElBQlNfT1RIX1hERkRfUkVWKEFOTiwtOSwwLFksUlAsTE9DQUwsTSk=&amp;WINDOW=FIRST_POPUP&amp;HEIGH","T=450&amp;WIDTH=450&amp;START_MAXIMIZED=FALSE&amp;VAR:CALENDAR=US&amp;VAR:SYMBOL=14912310&amp;VAR:INDEX=1"}</definedName>
    <definedName name="_122__FDSAUDITLINK__">{"fdsup://directions/FAT Viewer?action=UPDATE&amp;creator=factset&amp;DYN_ARGS=TRUE&amp;DOC_NAME=FAT:FQL_AUDITING_CLIENT_TEMPLATE.FAT&amp;display_string=Audit&amp;VAR:KEY=CBQPMNYDSX&amp;VAR:QUERY=RkZfTElBQlNfT1RIKEFOTiwtOSwwLFksUlAsTE9DQUwsTSk=&amp;WINDOW=FIRST_POPUP&amp;HEIGHT=450&amp;WIDTH=","450&amp;START_MAXIMIZED=FALSE&amp;VAR:CALENDAR=US&amp;VAR:SYMBOL=14912310&amp;VAR:INDEX=9"}</definedName>
    <definedName localSheetId="0" name="_123">'[1]Base diaria'!#REF!</definedName>
    <definedName name="_123">'[1]Base diaria'!#REF!</definedName>
    <definedName name="_123__FDSAUDITLINK__">{"fdsup://directions/FAT Viewer?action=UPDATE&amp;creator=factset&amp;DYN_ARGS=TRUE&amp;DOC_NAME=FAT:FQL_AUDITING_CLIENT_TEMPLATE.FAT&amp;display_string=Audit&amp;VAR:KEY=CBQPMNYDSX&amp;VAR:QUERY=RkZfTElBQlNfT1RIKEFOTiwtOSwwLFksUlAsTE9DQUwsTSk=&amp;WINDOW=FIRST_POPUP&amp;HEIGHT=450&amp;WIDTH=","450&amp;START_MAXIMIZED=FALSE&amp;VAR:CALENDAR=US&amp;VAR:SYMBOL=14912310&amp;VAR:INDEX=8"}</definedName>
    <definedName name="_124__FDSAUDITLINK__">{"fdsup://directions/FAT Viewer?action=UPDATE&amp;creator=factset&amp;DYN_ARGS=TRUE&amp;DOC_NAME=FAT:FQL_AUDITING_CLIENT_TEMPLATE.FAT&amp;display_string=Audit&amp;VAR:KEY=CBQPMNYDSX&amp;VAR:QUERY=RkZfTElBQlNfT1RIKEFOTiwtOSwwLFksUlAsTE9DQUwsTSk=&amp;WINDOW=FIRST_POPUP&amp;HEIGHT=450&amp;WIDTH=","450&amp;START_MAXIMIZED=FALSE&amp;VAR:CALENDAR=US&amp;VAR:SYMBOL=14912310&amp;VAR:INDEX=7"}</definedName>
    <definedName name="_125__FDSAUDITLINK__">{"fdsup://directions/FAT Viewer?action=UPDATE&amp;creator=factset&amp;DYN_ARGS=TRUE&amp;DOC_NAME=FAT:FQL_AUDITING_CLIENT_TEMPLATE.FAT&amp;display_string=Audit&amp;VAR:KEY=CBQPMNYDSX&amp;VAR:QUERY=RkZfTElBQlNfT1RIKEFOTiwtOSwwLFksUlAsTE9DQUwsTSk=&amp;WINDOW=FIRST_POPUP&amp;HEIGHT=450&amp;WIDTH=","450&amp;START_MAXIMIZED=FALSE&amp;VAR:CALENDAR=US&amp;VAR:SYMBOL=14912310&amp;VAR:INDEX=6"}</definedName>
    <definedName name="_126__FDSAUDITLINK__">{"fdsup://directions/FAT Viewer?action=UPDATE&amp;creator=factset&amp;DYN_ARGS=TRUE&amp;DOC_NAME=FAT:FQL_AUDITING_CLIENT_TEMPLATE.FAT&amp;display_string=Audit&amp;VAR:KEY=CBQPMNYDSX&amp;VAR:QUERY=RkZfTElBQlNfT1RIKEFOTiwtOSwwLFksUlAsTE9DQUwsTSk=&amp;WINDOW=FIRST_POPUP&amp;HEIGHT=450&amp;WIDTH=","450&amp;START_MAXIMIZED=FALSE&amp;VAR:CALENDAR=US&amp;VAR:SYMBOL=14912310&amp;VAR:INDEX=5"}</definedName>
    <definedName name="_127__FDSAUDITLINK__">{"fdsup://directions/FAT Viewer?action=UPDATE&amp;creator=factset&amp;DYN_ARGS=TRUE&amp;DOC_NAME=FAT:FQL_AUDITING_CLIENT_TEMPLATE.FAT&amp;display_string=Audit&amp;VAR:KEY=CBQPMNYDSX&amp;VAR:QUERY=RkZfTElBQlNfT1RIKEFOTiwtOSwwLFksUlAsTE9DQUwsTSk=&amp;WINDOW=FIRST_POPUP&amp;HEIGHT=450&amp;WIDTH=","450&amp;START_MAXIMIZED=FALSE&amp;VAR:CALENDAR=US&amp;VAR:SYMBOL=14912310&amp;VAR:INDEX=4"}</definedName>
    <definedName name="_128__FDSAUDITLINK__">{"fdsup://directions/FAT Viewer?action=UPDATE&amp;creator=factset&amp;DYN_ARGS=TRUE&amp;DOC_NAME=FAT:FQL_AUDITING_CLIENT_TEMPLATE.FAT&amp;display_string=Audit&amp;VAR:KEY=CBQPMNYDSX&amp;VAR:QUERY=RkZfTElBQlNfT1RIKEFOTiwtOSwwLFksUlAsTE9DQUwsTSk=&amp;WINDOW=FIRST_POPUP&amp;HEIGHT=450&amp;WIDTH=","450&amp;START_MAXIMIZED=FALSE&amp;VAR:CALENDAR=US&amp;VAR:SYMBOL=14912310&amp;VAR:INDEX=3"}</definedName>
    <definedName name="_129__FDSAUDITLINK__">{"fdsup://directions/FAT Viewer?action=UPDATE&amp;creator=factset&amp;DYN_ARGS=TRUE&amp;DOC_NAME=FAT:FQL_AUDITING_CLIENT_TEMPLATE.FAT&amp;display_string=Audit&amp;VAR:KEY=CBQPMNYDSX&amp;VAR:QUERY=RkZfTElBQlNfT1RIKEFOTiwtOSwwLFksUlAsTE9DQUwsTSk=&amp;WINDOW=FIRST_POPUP&amp;HEIGHT=450&amp;WIDTH=","450&amp;START_MAXIMIZED=FALSE&amp;VAR:CALENDAR=US&amp;VAR:SYMBOL=14912310&amp;VAR:INDEX=2"}</definedName>
    <definedName localSheetId="0" name="_13__123Graph_DCHART_8">'[17]Historical IS'!#REF!</definedName>
    <definedName name="_13__123Graph_DCHART_8">'[17]Historical IS'!#REF!</definedName>
    <definedName name="_13__FDSAUDITLINK__">{"fdsup://directions/FAT Viewer?action=UPDATE&amp;creator=factset&amp;DYN_ARGS=TRUE&amp;DOC_NAME=FAT:FQL_AUDITING_CLIENT_TEMPLATE.FAT&amp;display_string=Audit&amp;VAR:KEY=YBIZGHSFWT&amp;VAR:QUERY=RkZfUEFZX1RVUk5fREFZUyhBTk4sLTksMCxZLFJQKQ==&amp;WINDOW=FIRST_POPUP&amp;HEIGHT=450&amp;WIDTH=450&amp;","START_MAXIMIZED=FALSE&amp;VAR:CALENDAR=US&amp;VAR:SYMBOL=14912310&amp;VAR:INDEX=6"}</definedName>
    <definedName localSheetId="0" name="_13_0_0_K">[19]useless!#REF!</definedName>
    <definedName name="_13_0_0_K">[19]useless!#REF!</definedName>
    <definedName name="_130__FDSAUDITLINK__">{"fdsup://directions/FAT Viewer?action=UPDATE&amp;creator=factset&amp;DYN_ARGS=TRUE&amp;DOC_NAME=FAT:FQL_AUDITING_CLIENT_TEMPLATE.FAT&amp;display_string=Audit&amp;VAR:KEY=CBQPMNYDSX&amp;VAR:QUERY=RkZfTElBQlNfT1RIKEFOTiwtOSwwLFksUlAsTE9DQUwsTSk=&amp;WINDOW=FIRST_POPUP&amp;HEIGHT=450&amp;WIDTH=","450&amp;START_MAXIMIZED=FALSE&amp;VAR:CALENDAR=US&amp;VAR:SYMBOL=14912310&amp;VAR:INDEX=1"}</definedName>
    <definedName name="_131__FDSAUDITLINK__">{"fdsup://directions/FAT Viewer?action=UPDATE&amp;creator=factset&amp;DYN_ARGS=TRUE&amp;DOC_NAME=FAT:FQL_AUDITING_CLIENT_TEMPLATE.FAT&amp;display_string=Audit&amp;VAR:KEY=MHKHMBGJER&amp;VAR:QUERY=RkZfTkVUX0lOQ19CQVNJQyhBTk4sLTksMCxZLFJQLExPQ0FMLE0p&amp;WINDOW=FIRST_POPUP&amp;HEIGHT=450&amp;WI","DTH=450&amp;START_MAXIMIZED=FALSE&amp;VAR:CALENDAR=US&amp;VAR:SYMBOL=14912310&amp;VAR:INDEX=3"}</definedName>
    <definedName name="_132__FDSAUDITLINK__">{"fdsup://directions/FAT Viewer?action=UPDATE&amp;creator=factset&amp;DYN_ARGS=TRUE&amp;DOC_NAME=FAT:FQL_AUDITING_CLIENT_TEMPLATE.FAT&amp;display_string=Audit&amp;VAR:KEY=MHKHMBGJER&amp;VAR:QUERY=RkZfTkVUX0lOQ19CQVNJQyhBTk4sLTksMCxZLFJQLExPQ0FMLE0p&amp;WINDOW=FIRST_POPUP&amp;HEIGHT=450&amp;WI","DTH=450&amp;START_MAXIMIZED=FALSE&amp;VAR:CALENDAR=US&amp;VAR:SYMBOL=14912310&amp;VAR:INDEX=2"}</definedName>
    <definedName name="_133__FDSAUDITLINK__">{"fdsup://Directions/FactSet Auditing Viewer?action=AUDIT_VALUE&amp;DB=129&amp;ID1=14912310&amp;VALUEID=18183&amp;SDATE=2007&amp;PERIODTYPE=ANN_STD&amp;SCFT=3&amp;window=popup_no_bar&amp;width=385&amp;height=120&amp;START_MAXIMIZED=FALSE&amp;creator=factset&amp;display_string=Audit"}</definedName>
    <definedName name="_134__FDSAUDITLINK__">{"fdsup://Directions/FactSet Auditing Viewer?action=AUDIT_VALUE&amp;DB=129&amp;ID1=14912310&amp;VALUEID=18183&amp;SDATE=2006&amp;PERIODTYPE=ANN_STD&amp;SCFT=3&amp;window=popup_no_bar&amp;width=385&amp;height=120&amp;START_MAXIMIZED=FALSE&amp;creator=factset&amp;display_string=Audit"}</definedName>
    <definedName name="_135__FDSAUDITLINK__">{"fdsup://directions/FAT Viewer?action=UPDATE&amp;creator=factset&amp;DYN_ARGS=TRUE&amp;DOC_NAME=FAT:FQL_AUDITING_CLIENT_TEMPLATE.FAT&amp;display_string=Audit&amp;VAR:KEY=SBCTYJULEJ&amp;VAR:QUERY=RkZfTkVUX01HTihBTk4sLTksMCxZLFJQLExPQ0FMLE0p&amp;WINDOW=FIRST_POPUP&amp;HEIGHT=450&amp;WIDTH=450&amp;","START_MAXIMIZED=FALSE&amp;VAR:CALENDAR=US&amp;VAR:SYMBOL=14912310&amp;VAR:INDEX=8"}</definedName>
    <definedName name="_136__FDSAUDITLINK__">{"fdsup://directions/FAT Viewer?action=UPDATE&amp;creator=factset&amp;DYN_ARGS=TRUE&amp;DOC_NAME=FAT:FQL_AUDITING_CLIENT_TEMPLATE.FAT&amp;display_string=Audit&amp;VAR:KEY=MDQVMBSXGP&amp;VAR:QUERY=RkZfREVCVF9MVChBTk4sLTksMCxZLFJQLExPQ0FMLE0p&amp;WINDOW=FIRST_POPUP&amp;HEIGHT=450&amp;WIDTH=450&amp;","START_MAXIMIZED=FALSE&amp;VAR:CALENDAR=US&amp;VAR:SYMBOL=14912310&amp;VAR:INDEX=9"}</definedName>
    <definedName name="_137__FDSAUDITLINK__">{"fdsup://directions/FAT Viewer?action=UPDATE&amp;creator=factset&amp;DYN_ARGS=TRUE&amp;DOC_NAME=FAT:FQL_AUDITING_CLIENT_TEMPLATE.FAT&amp;display_string=Audit&amp;VAR:KEY=MDQVMBSXGP&amp;VAR:QUERY=RkZfREVCVF9MVChBTk4sLTksMCxZLFJQLExPQ0FMLE0p&amp;WINDOW=FIRST_POPUP&amp;HEIGHT=450&amp;WIDTH=450&amp;","START_MAXIMIZED=FALSE&amp;VAR:CALENDAR=US&amp;VAR:SYMBOL=14912310&amp;VAR:INDEX=8"}</definedName>
    <definedName name="_138__FDSAUDITLINK__">{"fdsup://directions/FAT Viewer?action=UPDATE&amp;creator=factset&amp;DYN_ARGS=TRUE&amp;DOC_NAME=FAT:FQL_AUDITING_CLIENT_TEMPLATE.FAT&amp;display_string=Audit&amp;VAR:KEY=MDQVMBSXGP&amp;VAR:QUERY=RkZfREVCVF9MVChBTk4sLTksMCxZLFJQLExPQ0FMLE0p&amp;WINDOW=FIRST_POPUP&amp;HEIGHT=450&amp;WIDTH=450&amp;","START_MAXIMIZED=FALSE&amp;VAR:CALENDAR=US&amp;VAR:SYMBOL=14912310&amp;VAR:INDEX=7"}</definedName>
    <definedName name="_139__FDSAUDITLINK__">{"fdsup://directions/FAT Viewer?action=UPDATE&amp;creator=factset&amp;DYN_ARGS=TRUE&amp;DOC_NAME=FAT:FQL_AUDITING_CLIENT_TEMPLATE.FAT&amp;display_string=Audit&amp;VAR:KEY=MDQVMBSXGP&amp;VAR:QUERY=RkZfREVCVF9MVChBTk4sLTksMCxZLFJQLExPQ0FMLE0p&amp;WINDOW=FIRST_POPUP&amp;HEIGHT=450&amp;WIDTH=450&amp;","START_MAXIMIZED=FALSE&amp;VAR:CALENDAR=US&amp;VAR:SYMBOL=14912310&amp;VAR:INDEX=6"}</definedName>
    <definedName localSheetId="0" name="_14__123Graph_LBL_ACHART_3">'[17]Historical IS'!#REF!</definedName>
    <definedName name="_14__123Graph_LBL_ACHART_3">'[17]Historical IS'!#REF!</definedName>
    <definedName name="_14__FDSAUDITLINK__">{"fdsup://directions/FAT Viewer?action=UPDATE&amp;creator=factset&amp;DYN_ARGS=TRUE&amp;DOC_NAME=FAT:FQL_AUDITING_CLIENT_TEMPLATE.FAT&amp;display_string=Audit&amp;VAR:KEY=YBIZGHSFWT&amp;VAR:QUERY=RkZfUEFZX1RVUk5fREFZUyhBTk4sLTksMCxZLFJQKQ==&amp;WINDOW=FIRST_POPUP&amp;HEIGHT=450&amp;WIDTH=450&amp;","START_MAXIMIZED=FALSE&amp;VAR:CALENDAR=US&amp;VAR:SYMBOL=14912310&amp;VAR:INDEX=5"}</definedName>
    <definedName localSheetId="0" name="_14_0_0_S">[19]useless!#REF!</definedName>
    <definedName name="_14_0_0_S">[19]useless!#REF!</definedName>
    <definedName name="_140__FDSAUDITLINK__">{"fdsup://directions/FAT Viewer?action=UPDATE&amp;creator=factset&amp;DYN_ARGS=TRUE&amp;DOC_NAME=FAT:FQL_AUDITING_CLIENT_TEMPLATE.FAT&amp;display_string=Audit&amp;VAR:KEY=MDQVMBSXGP&amp;VAR:QUERY=RkZfREVCVF9MVChBTk4sLTksMCxZLFJQLExPQ0FMLE0p&amp;WINDOW=FIRST_POPUP&amp;HEIGHT=450&amp;WIDTH=450&amp;","START_MAXIMIZED=FALSE&amp;VAR:CALENDAR=US&amp;VAR:SYMBOL=14912310&amp;VAR:INDEX=5"}</definedName>
    <definedName name="_141__FDSAUDITLINK__">{"fdsup://directions/FAT Viewer?action=UPDATE&amp;creator=factset&amp;DYN_ARGS=TRUE&amp;DOC_NAME=FAT:FQL_AUDITING_CLIENT_TEMPLATE.FAT&amp;display_string=Audit&amp;VAR:KEY=MDQVMBSXGP&amp;VAR:QUERY=RkZfREVCVF9MVChBTk4sLTksMCxZLFJQLExPQ0FMLE0p&amp;WINDOW=FIRST_POPUP&amp;HEIGHT=450&amp;WIDTH=450&amp;","START_MAXIMIZED=FALSE&amp;VAR:CALENDAR=US&amp;VAR:SYMBOL=14912310&amp;VAR:INDEX=4"}</definedName>
    <definedName name="_142__FDSAUDITLINK__">{"fdsup://directions/FAT Viewer?action=UPDATE&amp;creator=factset&amp;DYN_ARGS=TRUE&amp;DOC_NAME=FAT:FQL_AUDITING_CLIENT_TEMPLATE.FAT&amp;display_string=Audit&amp;VAR:KEY=MDQVMBSXGP&amp;VAR:QUERY=RkZfREVCVF9MVChBTk4sLTksMCxZLFJQLExPQ0FMLE0p&amp;WINDOW=FIRST_POPUP&amp;HEIGHT=450&amp;WIDTH=450&amp;","START_MAXIMIZED=FALSE&amp;VAR:CALENDAR=US&amp;VAR:SYMBOL=14912310&amp;VAR:INDEX=3"}</definedName>
    <definedName name="_143__FDSAUDITLINK__">{"fdsup://directions/FAT Viewer?action=UPDATE&amp;creator=factset&amp;DYN_ARGS=TRUE&amp;DOC_NAME=FAT:FQL_AUDITING_CLIENT_TEMPLATE.FAT&amp;display_string=Audit&amp;VAR:KEY=MDQVMBSXGP&amp;VAR:QUERY=RkZfREVCVF9MVChBTk4sLTksMCxZLFJQLExPQ0FMLE0p&amp;WINDOW=FIRST_POPUP&amp;HEIGHT=450&amp;WIDTH=450&amp;","START_MAXIMIZED=FALSE&amp;VAR:CALENDAR=US&amp;VAR:SYMBOL=14912310&amp;VAR:INDEX=2"}</definedName>
    <definedName name="_144__FDSAUDITLINK__">{"fdsup://directions/FAT Viewer?action=UPDATE&amp;creator=factset&amp;DYN_ARGS=TRUE&amp;DOC_NAME=FAT:FQL_AUDITING_CLIENT_TEMPLATE.FAT&amp;display_string=Audit&amp;VAR:KEY=MDQVMBSXGP&amp;VAR:QUERY=RkZfREVCVF9MVChBTk4sLTksMCxZLFJQLExPQ0FMLE0p&amp;WINDOW=FIRST_POPUP&amp;HEIGHT=450&amp;WIDTH=450&amp;","START_MAXIMIZED=FALSE&amp;VAR:CALENDAR=US&amp;VAR:SYMBOL=14912310&amp;VAR:INDEX=1"}</definedName>
    <definedName name="_145__FDSAUDITLINK__">{"fdsup://Directions/FactSet Auditing Viewer?action=AUDIT_VALUE&amp;DB=129&amp;ID1=14912310&amp;VALUEID=03101&amp;SDATE=2009&amp;PERIODTYPE=ANN_STD&amp;SCFT=3&amp;window=popup_no_bar&amp;width=385&amp;height=120&amp;START_MAXIMIZED=FALSE&amp;creator=factset&amp;display_string=Audit"}</definedName>
    <definedName name="_146__FDSAUDITLINK__">{"fdsup://directions/FAT Viewer?action=UPDATE&amp;creator=factset&amp;DYN_ARGS=TRUE&amp;DOC_NAME=FAT:FQL_AUDITING_CLIENT_TEMPLATE.FAT&amp;display_string=Audit&amp;VAR:KEY=XABARKBOTQ&amp;VAR:QUERY=UENUQ0hHKEZGX05FVF9JTkMoQU5OLC05LDAsWSxSUCxMT0NBTCxNKSxGRl9ORVRfSU5DKEFOTiwtMSwtOSAtI","DEsWSxSUCxMT0NBTCxNKSk=&amp;WINDOW=FIRST_POPUP&amp;HEIGHT=450&amp;WIDTH=450&amp;START_MAXIMIZED=FALSE&amp;VAR:CALENDAR=US&amp;VAR:SYMBOL=14912310&amp;VAR:INDEX=6"}</definedName>
    <definedName name="_147__FDSAUDITLINK__">{"fdsup://Directions/FactSet Auditing Viewer?action=AUDIT_VALUE&amp;DB=129&amp;ID1=14912310&amp;VALUEID=03101&amp;SDATE=2007&amp;PERIODTYPE=ANN_STD&amp;SCFT=3&amp;window=popup_no_bar&amp;width=385&amp;height=120&amp;START_MAXIMIZED=FALSE&amp;creator=factset&amp;display_string=Audit"}</definedName>
    <definedName name="_148__FDSAUDITLINK__">{"fdsup://Directions/FactSet Auditing Viewer?action=AUDIT_VALUE&amp;DB=129&amp;ID1=14912310&amp;VALUEID=03101&amp;SDATE=2006&amp;PERIODTYPE=ANN_STD&amp;SCFT=3&amp;window=popup_no_bar&amp;width=385&amp;height=120&amp;START_MAXIMIZED=FALSE&amp;creator=factset&amp;display_string=Audit"}</definedName>
    <definedName name="_149__FDSAUDITLINK__">{"fdsup://Directions/FactSet Auditing Viewer?action=AUDIT_VALUE&amp;DB=129&amp;ID1=14912310&amp;VALUEID=03101&amp;SDATE=2004&amp;PERIODTYPE=ANN_STD&amp;SCFT=3&amp;window=popup_no_bar&amp;width=385&amp;height=120&amp;START_MAXIMIZED=FALSE&amp;creator=factset&amp;display_string=Audit"}</definedName>
    <definedName localSheetId="0" name="_15__123Graph_LBL_ACHART_4">'[17]Historical IS'!#REF!</definedName>
    <definedName name="_15__123Graph_LBL_ACHART_4">'[17]Historical IS'!#REF!</definedName>
    <definedName localSheetId="0" name="_15__123Graph_XLIBORU_S">'[1]Base diaria'!#REF!</definedName>
    <definedName name="_15__123Graph_XLIBORU_S">'[1]Base diaria'!#REF!</definedName>
    <definedName name="_15__FDSAUDITLINK__">{"fdsup://directions/FAT Viewer?action=UPDATE&amp;creator=factset&amp;DYN_ARGS=TRUE&amp;DOC_NAME=FAT:FQL_AUDITING_CLIENT_TEMPLATE.FAT&amp;display_string=Audit&amp;VAR:KEY=YBIZGHSFWT&amp;VAR:QUERY=RkZfUEFZX1RVUk5fREFZUyhBTk4sLTksMCxZLFJQKQ==&amp;WINDOW=FIRST_POPUP&amp;HEIGHT=450&amp;WIDTH=450&amp;","START_MAXIMIZED=FALSE&amp;VAR:CALENDAR=US&amp;VAR:SYMBOL=14912310&amp;VAR:INDEX=4"}</definedName>
    <definedName name="_150__FDSAUDITLINK__">{"fdsup://directions/FAT Viewer?action=UPDATE&amp;creator=factset&amp;DYN_ARGS=TRUE&amp;DOC_NAME=FAT:FQL_AUDITING_CLIENT_TEMPLATE.FAT&amp;display_string=Audit&amp;VAR:KEY=XABARKBOTQ&amp;VAR:QUERY=UENUQ0hHKEZGX05FVF9JTkMoQU5OLC05LDAsWSxSUCxMT0NBTCxNKSxGRl9ORVRfSU5DKEFOTiwtMSwtOSAtI","DEsWSxSUCxMT0NBTCxNKSk=&amp;WINDOW=FIRST_POPUP&amp;HEIGHT=450&amp;WIDTH=450&amp;START_MAXIMIZED=FALSE&amp;VAR:CALENDAR=US&amp;VAR:SYMBOL=14912310&amp;VAR:INDEX=2"}</definedName>
    <definedName name="_151__FDSAUDITLINK__">{"fdsup://directions/FAT Viewer?action=UPDATE&amp;creator=factset&amp;DYN_ARGS=TRUE&amp;DOC_NAME=FAT:FQL_AUDITING_CLIENT_TEMPLATE.FAT&amp;display_string=Audit&amp;VAR:KEY=QLAZSHMHUZ&amp;VAR:QUERY=RkZfTElBQlNfQ1VSUl9NSVNDKEFOTiwtOSwwLFksUlAsTE9DQUwsTSk=&amp;WINDOW=FIRST_POPUP&amp;HEIGHT=45","0&amp;WIDTH=450&amp;START_MAXIMIZED=FALSE&amp;VAR:CALENDAR=US&amp;VAR:SYMBOL=14912310&amp;VAR:INDEX=9"}</definedName>
    <definedName name="_152__FDSAUDITLINK__">{"fdsup://directions/FAT Viewer?action=UPDATE&amp;creator=factset&amp;DYN_ARGS=TRUE&amp;DOC_NAME=FAT:FQL_AUDITING_CLIENT_TEMPLATE.FAT&amp;display_string=Audit&amp;VAR:KEY=QLAZSHMHUZ&amp;VAR:QUERY=RkZfTElBQlNfQ1VSUl9NSVNDKEFOTiwtOSwwLFksUlAsTE9DQUwsTSk=&amp;WINDOW=FIRST_POPUP&amp;HEIGHT=45","0&amp;WIDTH=450&amp;START_MAXIMIZED=FALSE&amp;VAR:CALENDAR=US&amp;VAR:SYMBOL=14912310&amp;VAR:INDEX=8"}</definedName>
    <definedName name="_153__FDSAUDITLINK__">{"fdsup://directions/FAT Viewer?action=UPDATE&amp;creator=factset&amp;DYN_ARGS=TRUE&amp;DOC_NAME=FAT:FQL_AUDITING_CLIENT_TEMPLATE.FAT&amp;display_string=Audit&amp;VAR:KEY=QLAZSHMHUZ&amp;VAR:QUERY=RkZfTElBQlNfQ1VSUl9NSVNDKEFOTiwtOSwwLFksUlAsTE9DQUwsTSk=&amp;WINDOW=FIRST_POPUP&amp;HEIGHT=45","0&amp;WIDTH=450&amp;START_MAXIMIZED=FALSE&amp;VAR:CALENDAR=US&amp;VAR:SYMBOL=14912310&amp;VAR:INDEX=7"}</definedName>
    <definedName name="_154__FDSAUDITLINK__">{"fdsup://directions/FAT Viewer?action=UPDATE&amp;creator=factset&amp;DYN_ARGS=TRUE&amp;DOC_NAME=FAT:FQL_AUDITING_CLIENT_TEMPLATE.FAT&amp;display_string=Audit&amp;VAR:KEY=QLAZSHMHUZ&amp;VAR:QUERY=RkZfTElBQlNfQ1VSUl9NSVNDKEFOTiwtOSwwLFksUlAsTE9DQUwsTSk=&amp;WINDOW=FIRST_POPUP&amp;HEIGHT=45","0&amp;WIDTH=450&amp;START_MAXIMIZED=FALSE&amp;VAR:CALENDAR=US&amp;VAR:SYMBOL=14912310&amp;VAR:INDEX=6"}</definedName>
    <definedName name="_155__FDSAUDITLINK__">{"fdsup://directions/FAT Viewer?action=UPDATE&amp;creator=factset&amp;DYN_ARGS=TRUE&amp;DOC_NAME=FAT:FQL_AUDITING_CLIENT_TEMPLATE.FAT&amp;display_string=Audit&amp;VAR:KEY=QLAZSHMHUZ&amp;VAR:QUERY=RkZfTElBQlNfQ1VSUl9NSVNDKEFOTiwtOSwwLFksUlAsTE9DQUwsTSk=&amp;WINDOW=FIRST_POPUP&amp;HEIGHT=45","0&amp;WIDTH=450&amp;START_MAXIMIZED=FALSE&amp;VAR:CALENDAR=US&amp;VAR:SYMBOL=14912310&amp;VAR:INDEX=5"}</definedName>
    <definedName name="_156__FDSAUDITLINK__">{"fdsup://directions/FAT Viewer?action=UPDATE&amp;creator=factset&amp;DYN_ARGS=TRUE&amp;DOC_NAME=FAT:FQL_AUDITING_CLIENT_TEMPLATE.FAT&amp;display_string=Audit&amp;VAR:KEY=QLAZSHMHUZ&amp;VAR:QUERY=RkZfTElBQlNfQ1VSUl9NSVNDKEFOTiwtOSwwLFksUlAsTE9DQUwsTSk=&amp;WINDOW=FIRST_POPUP&amp;HEIGHT=45","0&amp;WIDTH=450&amp;START_MAXIMIZED=FALSE&amp;VAR:CALENDAR=US&amp;VAR:SYMBOL=14912310&amp;VAR:INDEX=4"}</definedName>
    <definedName name="_157__FDSAUDITLINK__">{"fdsup://directions/FAT Viewer?action=UPDATE&amp;creator=factset&amp;DYN_ARGS=TRUE&amp;DOC_NAME=FAT:FQL_AUDITING_CLIENT_TEMPLATE.FAT&amp;display_string=Audit&amp;VAR:KEY=QLAZSHMHUZ&amp;VAR:QUERY=RkZfTElBQlNfQ1VSUl9NSVNDKEFOTiwtOSwwLFksUlAsTE9DQUwsTSk=&amp;WINDOW=FIRST_POPUP&amp;HEIGHT=45","0&amp;WIDTH=450&amp;START_MAXIMIZED=FALSE&amp;VAR:CALENDAR=US&amp;VAR:SYMBOL=14912310&amp;VAR:INDEX=3"}</definedName>
    <definedName name="_158__FDSAUDITLINK__">{"fdsup://directions/FAT Viewer?action=UPDATE&amp;creator=factset&amp;DYN_ARGS=TRUE&amp;DOC_NAME=FAT:FQL_AUDITING_CLIENT_TEMPLATE.FAT&amp;display_string=Audit&amp;VAR:KEY=QLAZSHMHUZ&amp;VAR:QUERY=RkZfTElBQlNfQ1VSUl9NSVNDKEFOTiwtOSwwLFksUlAsTE9DQUwsTSk=&amp;WINDOW=FIRST_POPUP&amp;HEIGHT=45","0&amp;WIDTH=450&amp;START_MAXIMIZED=FALSE&amp;VAR:CALENDAR=US&amp;VAR:SYMBOL=14912310&amp;VAR:INDEX=2"}</definedName>
    <definedName name="_159__FDSAUDITLINK__">{"fdsup://directions/FAT Viewer?action=UPDATE&amp;creator=factset&amp;DYN_ARGS=TRUE&amp;DOC_NAME=FAT:FQL_AUDITING_CLIENT_TEMPLATE.FAT&amp;display_string=Audit&amp;VAR:KEY=QLAZSHMHUZ&amp;VAR:QUERY=RkZfTElBQlNfQ1VSUl9NSVNDKEFOTiwtOSwwLFksUlAsTE9DQUwsTSk=&amp;WINDOW=FIRST_POPUP&amp;HEIGHT=45","0&amp;WIDTH=450&amp;START_MAXIMIZED=FALSE&amp;VAR:CALENDAR=US&amp;VAR:SYMBOL=14912310&amp;VAR:INDEX=1"}</definedName>
    <definedName localSheetId="0" name="_16__123Graph_LBL_BCHART_3">'[17]Historical IS'!#REF!</definedName>
    <definedName name="_16__123Graph_LBL_BCHART_3">'[17]Historical IS'!#REF!</definedName>
    <definedName name="_16__FDSAUDITLINK__">{"fdsup://directions/FAT Viewer?action=UPDATE&amp;creator=factset&amp;DYN_ARGS=TRUE&amp;DOC_NAME=FAT:FQL_AUDITING_CLIENT_TEMPLATE.FAT&amp;display_string=Audit&amp;VAR:KEY=YBIZGHSFWT&amp;VAR:QUERY=RkZfUEFZX1RVUk5fREFZUyhBTk4sLTksMCxZLFJQKQ==&amp;WINDOW=FIRST_POPUP&amp;HEIGHT=450&amp;WIDTH=450&amp;","START_MAXIMIZED=FALSE&amp;VAR:CALENDAR=US&amp;VAR:SYMBOL=14912310&amp;VAR:INDEX=3"}</definedName>
    <definedName name="_160__FDSAUDITLINK__">{"fdsup://Directions/FactSet Auditing Viewer?action=AUDIT_VALUE&amp;DB=129&amp;ID1=14912310&amp;VALUEID=03054&amp;SDATE=2009&amp;PERIODTYPE=ANN_STD&amp;SCFT=3&amp;window=popup_no_bar&amp;width=385&amp;height=120&amp;START_MAXIMIZED=FALSE&amp;creator=factset&amp;display_string=Audit"}</definedName>
    <definedName name="_161__FDSAUDITLINK__">{"fdsup://Directions/FactSet Auditing Viewer?action=AUDIT_VALUE&amp;DB=129&amp;ID1=14912310&amp;VALUEID=04351&amp;SDATE=2006&amp;PERIODTYPE=ANN_STD&amp;SCFT=3&amp;window=popup_no_bar&amp;width=385&amp;height=120&amp;START_MAXIMIZED=FALSE&amp;creator=factset&amp;display_string=Audit"}</definedName>
    <definedName name="_162__FDSAUDITLINK__">{"fdsup://Directions/FactSet Auditing Viewer?action=AUDIT_VALUE&amp;DB=129&amp;ID1=14912310&amp;VALUEID=03054&amp;SDATE=2007&amp;PERIODTYPE=ANN_STD&amp;SCFT=3&amp;window=popup_no_bar&amp;width=385&amp;height=120&amp;START_MAXIMIZED=FALSE&amp;creator=factset&amp;display_string=Audit"}</definedName>
    <definedName name="_163__FDSAUDITLINK__">{"fdsup://Directions/FactSet Auditing Viewer?action=AUDIT_VALUE&amp;DB=129&amp;ID1=14912310&amp;VALUEID=03054&amp;SDATE=2006&amp;PERIODTYPE=ANN_STD&amp;SCFT=3&amp;window=popup_no_bar&amp;width=385&amp;height=120&amp;START_MAXIMIZED=FALSE&amp;creator=factset&amp;display_string=Audit"}</definedName>
    <definedName name="_164__FDSAUDITLINK__">{"fdsup://Directions/FactSet Auditing Viewer?action=AUDIT_VALUE&amp;DB=129&amp;ID1=14912310&amp;VALUEID=03054&amp;SDATE=2004&amp;PERIODTYPE=ANN_STD&amp;SCFT=3&amp;window=popup_no_bar&amp;width=385&amp;height=120&amp;START_MAXIMIZED=FALSE&amp;creator=factset&amp;display_string=Audit"}</definedName>
    <definedName name="_165__FDSAUDITLINK__">{"fdsup://directions/FAT Viewer?action=UPDATE&amp;creator=factset&amp;DYN_ARGS=TRUE&amp;DOC_NAME=FAT:FQL_AUDITING_CLIENT_TEMPLATE.FAT&amp;display_string=Audit&amp;VAR:KEY=KFGJGXMPCT&amp;VAR:QUERY=RkZfQ09OU09MX05FVF9JTkMoQU5OLC05LDAsWSxSUCxMT0NBTCxNKQ==&amp;WINDOW=FIRST_POPUP&amp;HEIGHT=45","0&amp;WIDTH=450&amp;START_MAXIMIZED=FALSE&amp;VAR:CALENDAR=US&amp;VAR:SYMBOL=14912310&amp;VAR:INDEX=7"}</definedName>
    <definedName name="_166__FDSAUDITLINK__">{"fdsup://Directions/FactSet Auditing Viewer?action=AUDIT_VALUE&amp;DB=129&amp;ID1=14912310&amp;VALUEID=03061&amp;SDATE=2009&amp;PERIODTYPE=ANN_STD&amp;SCFT=3&amp;window=popup_no_bar&amp;width=385&amp;height=120&amp;START_MAXIMIZED=FALSE&amp;creator=factset&amp;display_string=Audit"}</definedName>
    <definedName name="_167__FDSAUDITLINK__">{"fdsup://directions/FAT Viewer?action=UPDATE&amp;creator=factset&amp;DYN_ARGS=TRUE&amp;DOC_NAME=FAT:FQL_AUDITING_CLIENT_TEMPLATE.FAT&amp;display_string=Audit&amp;VAR:KEY=KFGJGXMPCT&amp;VAR:QUERY=RkZfQ09OU09MX05FVF9JTkMoQU5OLC05LDAsWSxSUCxMT0NBTCxNKQ==&amp;WINDOW=FIRST_POPUP&amp;HEIGHT=45","0&amp;WIDTH=450&amp;START_MAXIMIZED=FALSE&amp;VAR:CALENDAR=US&amp;VAR:SYMBOL=14912310&amp;VAR:INDEX=5"}</definedName>
    <definedName name="_168__FDSAUDITLINK__">{"fdsup://Directions/FactSet Auditing Viewer?action=AUDIT_VALUE&amp;DB=129&amp;ID1=14912310&amp;VALUEID=03061&amp;SDATE=2007&amp;PERIODTYPE=ANN_STD&amp;SCFT=3&amp;window=popup_no_bar&amp;width=385&amp;height=120&amp;START_MAXIMIZED=FALSE&amp;creator=factset&amp;display_string=Audit"}</definedName>
    <definedName name="_169__FDSAUDITLINK__">{"fdsup://Directions/FactSet Auditing Viewer?action=AUDIT_VALUE&amp;DB=129&amp;ID1=14912310&amp;VALUEID=03061&amp;SDATE=2006&amp;PERIODTYPE=ANN_STD&amp;SCFT=3&amp;window=popup_no_bar&amp;width=385&amp;height=120&amp;START_MAXIMIZED=FALSE&amp;creator=factset&amp;display_string=Audit"}</definedName>
    <definedName localSheetId="0" name="_17__123Graph_LBL_BCHART_4">'[17]Historical IS'!#REF!</definedName>
    <definedName name="_17__123Graph_LBL_BCHART_4">'[17]Historical IS'!#REF!</definedName>
    <definedName name="_17__FDSAUDITLINK__">{"fdsup://directions/FAT Viewer?action=UPDATE&amp;creator=factset&amp;DYN_ARGS=TRUE&amp;DOC_NAME=FAT:FQL_AUDITING_CLIENT_TEMPLATE.FAT&amp;display_string=Audit&amp;VAR:KEY=YBIZGHSFWT&amp;VAR:QUERY=RkZfUEFZX1RVUk5fREFZUyhBTk4sLTksMCxZLFJQKQ==&amp;WINDOW=FIRST_POPUP&amp;HEIGHT=450&amp;WIDTH=450&amp;","START_MAXIMIZED=FALSE&amp;VAR:CALENDAR=US&amp;VAR:SYMBOL=14912310&amp;VAR:INDEX=2"}</definedName>
    <definedName name="_170__FDSAUDITLINK__">{"fdsup://Directions/FactSet Auditing Viewer?action=AUDIT_VALUE&amp;DB=129&amp;ID1=14912310&amp;VALUEID=03061&amp;SDATE=2004&amp;PERIODTYPE=ANN_STD&amp;SCFT=3&amp;window=popup_no_bar&amp;width=385&amp;height=120&amp;START_MAXIMIZED=FALSE&amp;creator=factset&amp;display_string=Audit"}</definedName>
    <definedName name="_171__FDSAUDITLINK__">{"fdsup://directions/FAT Viewer?action=UPDATE&amp;creator=factset&amp;DYN_ARGS=TRUE&amp;DOC_NAME=FAT:FQL_AUDITING_CLIENT_TEMPLATE.FAT&amp;display_string=Audit&amp;VAR:KEY=KFGJGXMPCT&amp;VAR:QUERY=RkZfQ09OU09MX05FVF9JTkMoQU5OLC05LDAsWSxSUCxMT0NBTCxNKQ==&amp;WINDOW=FIRST_POPUP&amp;HEIGHT=45","0&amp;WIDTH=450&amp;START_MAXIMIZED=FALSE&amp;VAR:CALENDAR=US&amp;VAR:SYMBOL=14912310&amp;VAR:INDEX=1"}</definedName>
    <definedName name="_172__FDSAUDITLINK__">{"fdsup://directions/FAT Viewer?action=UPDATE&amp;creator=factset&amp;DYN_ARGS=TRUE&amp;DOC_NAME=FAT:FQL_AUDITING_CLIENT_TEMPLATE.FAT&amp;display_string=Audit&amp;VAR:KEY=VQJGTAZSVQ&amp;VAR:QUERY=RkZfTElBQlNfQ1VSUl9PVEgoQU5OLC05LDAsWSxSUCxMT0NBTCxNKQ==&amp;WINDOW=FIRST_POPUP&amp;HEIGHT=45","0&amp;WIDTH=450&amp;START_MAXIMIZED=FALSE&amp;VAR:CALENDAR=US&amp;VAR:SYMBOL=14912310&amp;VAR:INDEX=9"}</definedName>
    <definedName name="_173__FDSAUDITLINK__">{"fdsup://directions/FAT Viewer?action=UPDATE&amp;creator=factset&amp;DYN_ARGS=TRUE&amp;DOC_NAME=FAT:FQL_AUDITING_CLIENT_TEMPLATE.FAT&amp;display_string=Audit&amp;VAR:KEY=VQJGTAZSVQ&amp;VAR:QUERY=RkZfTElBQlNfQ1VSUl9PVEgoQU5OLC05LDAsWSxSUCxMT0NBTCxNKQ==&amp;WINDOW=FIRST_POPUP&amp;HEIGHT=45","0&amp;WIDTH=450&amp;START_MAXIMIZED=FALSE&amp;VAR:CALENDAR=US&amp;VAR:SYMBOL=14912310&amp;VAR:INDEX=8"}</definedName>
    <definedName name="_174__FDSAUDITLINK__">{"fdsup://directions/FAT Viewer?action=UPDATE&amp;creator=factset&amp;DYN_ARGS=TRUE&amp;DOC_NAME=FAT:FQL_AUDITING_CLIENT_TEMPLATE.FAT&amp;display_string=Audit&amp;VAR:KEY=VQJGTAZSVQ&amp;VAR:QUERY=RkZfTElBQlNfQ1VSUl9PVEgoQU5OLC05LDAsWSxSUCxMT0NBTCxNKQ==&amp;WINDOW=FIRST_POPUP&amp;HEIGHT=45","0&amp;WIDTH=450&amp;START_MAXIMIZED=FALSE&amp;VAR:CALENDAR=US&amp;VAR:SYMBOL=14912310&amp;VAR:INDEX=7"}</definedName>
    <definedName name="_175__FDSAUDITLINK__">{"fdsup://directions/FAT Viewer?action=UPDATE&amp;creator=factset&amp;DYN_ARGS=TRUE&amp;DOC_NAME=FAT:FQL_AUDITING_CLIENT_TEMPLATE.FAT&amp;display_string=Audit&amp;VAR:KEY=VQJGTAZSVQ&amp;VAR:QUERY=RkZfTElBQlNfQ1VSUl9PVEgoQU5OLC05LDAsWSxSUCxMT0NBTCxNKQ==&amp;WINDOW=FIRST_POPUP&amp;HEIGHT=45","0&amp;WIDTH=450&amp;START_MAXIMIZED=FALSE&amp;VAR:CALENDAR=US&amp;VAR:SYMBOL=14912310&amp;VAR:INDEX=6"}</definedName>
    <definedName name="_176__FDSAUDITLINK__">{"fdsup://directions/FAT Viewer?action=UPDATE&amp;creator=factset&amp;DYN_ARGS=TRUE&amp;DOC_NAME=FAT:FQL_AUDITING_CLIENT_TEMPLATE.FAT&amp;display_string=Audit&amp;VAR:KEY=VQJGTAZSVQ&amp;VAR:QUERY=RkZfTElBQlNfQ1VSUl9PVEgoQU5OLC05LDAsWSxSUCxMT0NBTCxNKQ==&amp;WINDOW=FIRST_POPUP&amp;HEIGHT=45","0&amp;WIDTH=450&amp;START_MAXIMIZED=FALSE&amp;VAR:CALENDAR=US&amp;VAR:SYMBOL=14912310&amp;VAR:INDEX=5"}</definedName>
    <definedName name="_177__FDSAUDITLINK__">{"fdsup://directions/FAT Viewer?action=UPDATE&amp;creator=factset&amp;DYN_ARGS=TRUE&amp;DOC_NAME=FAT:FQL_AUDITING_CLIENT_TEMPLATE.FAT&amp;display_string=Audit&amp;VAR:KEY=VQJGTAZSVQ&amp;VAR:QUERY=RkZfTElBQlNfQ1VSUl9PVEgoQU5OLC05LDAsWSxSUCxMT0NBTCxNKQ==&amp;WINDOW=FIRST_POPUP&amp;HEIGHT=45","0&amp;WIDTH=450&amp;START_MAXIMIZED=FALSE&amp;VAR:CALENDAR=US&amp;VAR:SYMBOL=14912310&amp;VAR:INDEX=4"}</definedName>
    <definedName name="_178__FDSAUDITLINK__">{"fdsup://directions/FAT Viewer?action=UPDATE&amp;creator=factset&amp;DYN_ARGS=TRUE&amp;DOC_NAME=FAT:FQL_AUDITING_CLIENT_TEMPLATE.FAT&amp;display_string=Audit&amp;VAR:KEY=VQJGTAZSVQ&amp;VAR:QUERY=RkZfTElBQlNfQ1VSUl9PVEgoQU5OLC05LDAsWSxSUCxMT0NBTCxNKQ==&amp;WINDOW=FIRST_POPUP&amp;HEIGHT=45","0&amp;WIDTH=450&amp;START_MAXIMIZED=FALSE&amp;VAR:CALENDAR=US&amp;VAR:SYMBOL=14912310&amp;VAR:INDEX=3"}</definedName>
    <definedName name="_179__FDSAUDITLINK__">{"fdsup://directions/FAT Viewer?action=UPDATE&amp;creator=factset&amp;DYN_ARGS=TRUE&amp;DOC_NAME=FAT:FQL_AUDITING_CLIENT_TEMPLATE.FAT&amp;display_string=Audit&amp;VAR:KEY=VQJGTAZSVQ&amp;VAR:QUERY=RkZfTElBQlNfQ1VSUl9PVEgoQU5OLC05LDAsWSxSUCxMT0NBTCxNKQ==&amp;WINDOW=FIRST_POPUP&amp;HEIGHT=45","0&amp;WIDTH=450&amp;START_MAXIMIZED=FALSE&amp;VAR:CALENDAR=US&amp;VAR:SYMBOL=14912310&amp;VAR:INDEX=2"}</definedName>
    <definedName localSheetId="0" name="_18__123Graph_LBL_CCHART_3">'[17]Historical IS'!#REF!</definedName>
    <definedName name="_18__123Graph_LBL_CCHART_3">'[17]Historical IS'!#REF!</definedName>
    <definedName localSheetId="0" name="_18__123Graph_XPBI_USA">'[1]Base diaria'!#REF!</definedName>
    <definedName name="_18__123Graph_XPBI_USA">'[1]Base diaria'!#REF!</definedName>
    <definedName name="_18__FDSAUDITLINK__">{"fdsup://directions/FAT Viewer?action=UPDATE&amp;creator=factset&amp;DYN_ARGS=TRUE&amp;DOC_NAME=FAT:FQL_AUDITING_CLIENT_TEMPLATE.FAT&amp;display_string=Audit&amp;VAR:KEY=YBIZGHSFWT&amp;VAR:QUERY=RkZfUEFZX1RVUk5fREFZUyhBTk4sLTksMCxZLFJQKQ==&amp;WINDOW=FIRST_POPUP&amp;HEIGHT=450&amp;WIDTH=450&amp;","START_MAXIMIZED=FALSE&amp;VAR:CALENDAR=US&amp;VAR:SYMBOL=14912310&amp;VAR:INDEX=1"}</definedName>
    <definedName name="_180__FDSAUDITLINK__">{"fdsup://directions/FAT Viewer?action=UPDATE&amp;creator=factset&amp;DYN_ARGS=TRUE&amp;DOC_NAME=FAT:FQL_AUDITING_CLIENT_TEMPLATE.FAT&amp;display_string=Audit&amp;VAR:KEY=VQJGTAZSVQ&amp;VAR:QUERY=RkZfTElBQlNfQ1VSUl9PVEgoQU5OLC05LDAsWSxSUCxMT0NBTCxNKQ==&amp;WINDOW=FIRST_POPUP&amp;HEIGHT=45","0&amp;WIDTH=450&amp;START_MAXIMIZED=FALSE&amp;VAR:CALENDAR=US&amp;VAR:SYMBOL=14912310&amp;VAR:INDEX=1"}</definedName>
    <definedName name="_181__FDSAUDITLINK__">{"fdsup://Directions/FactSet Auditing Viewer?action=AUDIT_VALUE&amp;DB=129&amp;ID1=14912310&amp;VALUEID=03063&amp;SDATE=2009&amp;PERIODTYPE=ANN_STD&amp;SCFT=3&amp;window=popup_no_bar&amp;width=385&amp;height=120&amp;START_MAXIMIZED=FALSE&amp;creator=factset&amp;display_string=Audit"}</definedName>
    <definedName name="_182__FDSAUDITLINK__">{"fdsup://Directions/FactSet Auditing Viewer?action=AUDIT_VALUE&amp;DB=129&amp;ID1=14912310&amp;VALUEID=18189&amp;SDATE=2006&amp;PERIODTYPE=ANN_STD&amp;SCFT=3&amp;window=popup_no_bar&amp;width=385&amp;height=120&amp;START_MAXIMIZED=FALSE&amp;creator=factset&amp;display_string=Audit"}</definedName>
    <definedName name="_183__FDSAUDITLINK__">{"fdsup://Directions/FactSet Auditing Viewer?action=AUDIT_VALUE&amp;DB=129&amp;ID1=14912310&amp;VALUEID=03063&amp;SDATE=2007&amp;PERIODTYPE=ANN_STD&amp;SCFT=3&amp;window=popup_no_bar&amp;width=385&amp;height=120&amp;START_MAXIMIZED=FALSE&amp;creator=factset&amp;display_string=Audit"}</definedName>
    <definedName name="_184__FDSAUDITLINK__">{"fdsup://Directions/FactSet Auditing Viewer?action=AUDIT_VALUE&amp;DB=129&amp;ID1=14912310&amp;VALUEID=03063&amp;SDATE=2006&amp;PERIODTYPE=ANN_STD&amp;SCFT=3&amp;window=popup_no_bar&amp;width=385&amp;height=120&amp;START_MAXIMIZED=FALSE&amp;creator=factset&amp;display_string=Audit"}</definedName>
    <definedName name="_185__FDSAUDITLINK__">{"fdsup://Directions/FactSet Auditing Viewer?action=AUDIT_VALUE&amp;DB=129&amp;ID1=14912310&amp;VALUEID=03063&amp;SDATE=2004&amp;PERIODTYPE=ANN_STD&amp;SCFT=3&amp;window=popup_no_bar&amp;width=385&amp;height=120&amp;START_MAXIMIZED=FALSE&amp;creator=factset&amp;display_string=Audit"}</definedName>
    <definedName name="_186__FDSAUDITLINK__">{"fdsup://Directions/FactSet Auditing Viewer?action=AUDIT_VALUE&amp;DB=129&amp;ID1=14912310&amp;VALUEID=04830&amp;SDATE=2004&amp;PERIODTYPE=ANN_STD&amp;SCFT=3&amp;window=popup_no_bar&amp;width=385&amp;height=120&amp;START_MAXIMIZED=FALSE&amp;creator=factset&amp;display_string=Audit"}</definedName>
    <definedName name="_187__FDSAUDITLINK__">{"fdsup://Directions/FactSet Auditing Viewer?action=AUDIT_VALUE&amp;DB=129&amp;ID1=14912310&amp;VALUEID=03040&amp;SDATE=2009&amp;PERIODTYPE=ANN_STD&amp;SCFT=3&amp;window=popup_no_bar&amp;width=385&amp;height=120&amp;START_MAXIMIZED=FALSE&amp;creator=factset&amp;display_string=Audit"}</definedName>
    <definedName name="_188__FDSAUDITLINK__">{"fdsup://Directions/FactSet Auditing Viewer?action=AUDIT_VALUE&amp;DB=129&amp;ID1=14912310&amp;VALUEID=18188&amp;SDATE=2006&amp;PERIODTYPE=ANN_STD&amp;SCFT=3&amp;window=popup_no_bar&amp;width=385&amp;height=120&amp;START_MAXIMIZED=FALSE&amp;creator=factset&amp;display_string=Audit"}</definedName>
    <definedName name="_189__FDSAUDITLINK__">{"fdsup://Directions/FactSet Auditing Viewer?action=AUDIT_VALUE&amp;DB=129&amp;ID1=14912310&amp;VALUEID=03040&amp;SDATE=2007&amp;PERIODTYPE=ANN_STD&amp;SCFT=3&amp;window=popup_no_bar&amp;width=385&amp;height=120&amp;START_MAXIMIZED=FALSE&amp;creator=factset&amp;display_string=Audit"}</definedName>
    <definedName localSheetId="0" name="_19__123Graph_XCHART_1">'[17]Historical IS'!#REF!</definedName>
    <definedName name="_19__123Graph_XCHART_1">'[17]Historical IS'!#REF!</definedName>
    <definedName name="_19__FDSAUDITLINK__">{"fdsup://directions/FAT Viewer?action=UPDATE&amp;creator=factset&amp;DYN_ARGS=TRUE&amp;DOC_NAME=FAT:FQL_AUDITING_CLIENT_TEMPLATE.FAT&amp;display_string=Audit&amp;VAR:KEY=BKJKPMHKLK&amp;VAR:QUERY=RkZfSU5WRU5fREFZUyhBTk4sLTksMCxZLFJQKQ==&amp;WINDOW=FIRST_POPUP&amp;HEIGHT=450&amp;WIDTH=450&amp;STAR","T_MAXIMIZED=FALSE&amp;VAR:CALENDAR=US&amp;VAR:SYMBOL=14912310&amp;VAR:INDEX=9"}</definedName>
    <definedName name="_190__FDSAUDITLINK__">{"fdsup://Directions/FactSet Auditing Viewer?action=AUDIT_VALUE&amp;DB=129&amp;ID1=14912310&amp;VALUEID=03040&amp;SDATE=2006&amp;PERIODTYPE=ANN_STD&amp;SCFT=3&amp;window=popup_no_bar&amp;width=385&amp;height=120&amp;START_MAXIMIZED=FALSE&amp;creator=factset&amp;display_string=Audit"}</definedName>
    <definedName name="_191__FDSAUDITLINK__">{"fdsup://Directions/FactSet Auditing Viewer?action=AUDIT_VALUE&amp;DB=129&amp;ID1=14912310&amp;VALUEID=03040&amp;SDATE=2004&amp;PERIODTYPE=ANN_STD&amp;SCFT=3&amp;window=popup_no_bar&amp;width=385&amp;height=120&amp;START_MAXIMIZED=FALSE&amp;creator=factset&amp;display_string=Audit"}</definedName>
    <definedName name="_192__FDSAUDITLINK__">{"fdsup://Directions/FactSet Auditing Viewer?action=AUDIT_VALUE&amp;DB=129&amp;ID1=14912310&amp;VALUEID=04827&amp;SDATE=2007&amp;PERIODTYPE=ANN_STD&amp;SCFT=3&amp;window=popup_no_bar&amp;width=385&amp;height=120&amp;START_MAXIMIZED=FALSE&amp;creator=factset&amp;display_string=Audit"}</definedName>
    <definedName name="_193__FDSAUDITLINK__">{"fdsup://Directions/FactSet Auditing Viewer?action=AUDIT_VALUE&amp;DB=129&amp;ID1=14912310&amp;VALUEID=03051&amp;SDATE=2009&amp;PERIODTYPE=ANN_STD&amp;SCFT=3&amp;window=popup_no_bar&amp;width=385&amp;height=120&amp;START_MAXIMIZED=FALSE&amp;creator=factset&amp;display_string=Audit"}</definedName>
    <definedName name="_194__FDSAUDITLINK__">{"fdsup://Directions/FactSet Auditing Viewer?action=AUDIT_VALUE&amp;DB=129&amp;ID1=14912310&amp;VALUEID=18187&amp;SDATE=2006&amp;PERIODTYPE=ANN_STD&amp;SCFT=3&amp;window=popup_no_bar&amp;width=385&amp;height=120&amp;START_MAXIMIZED=FALSE&amp;creator=factset&amp;display_string=Audit"}</definedName>
    <definedName name="_195__FDSAUDITLINK__">{"fdsup://Directions/FactSet Auditing Viewer?action=AUDIT_VALUE&amp;DB=129&amp;ID1=14912310&amp;VALUEID=03051&amp;SDATE=2007&amp;PERIODTYPE=ANN_STD&amp;SCFT=3&amp;window=popup_no_bar&amp;width=385&amp;height=120&amp;START_MAXIMIZED=FALSE&amp;creator=factset&amp;display_string=Audit"}</definedName>
    <definedName name="_196__FDSAUDITLINK__">{"fdsup://Directions/FactSet Auditing Viewer?action=AUDIT_VALUE&amp;DB=129&amp;ID1=14912310&amp;VALUEID=03051&amp;SDATE=2006&amp;PERIODTYPE=ANN_STD&amp;SCFT=3&amp;window=popup_no_bar&amp;width=385&amp;height=120&amp;START_MAXIMIZED=FALSE&amp;creator=factset&amp;display_string=Audit"}</definedName>
    <definedName name="_197__FDSAUDITLINK__">{"fdsup://Directions/FactSet Auditing Viewer?action=AUDIT_VALUE&amp;DB=129&amp;ID1=14912310&amp;VALUEID=03051&amp;SDATE=2004&amp;PERIODTYPE=ANN_STD&amp;SCFT=3&amp;window=popup_no_bar&amp;width=385&amp;height=120&amp;START_MAXIMIZED=FALSE&amp;creator=factset&amp;display_string=Audit"}</definedName>
    <definedName name="_198__FDSAUDITLINK__">{"fdsup://Directions/FactSet Auditing Viewer?action=AUDIT_VALUE&amp;DB=129&amp;ID1=14912310&amp;VALUEID=04826&amp;SDATE=2008&amp;PERIODTYPE=ANN_STD&amp;SCFT=3&amp;window=popup_no_bar&amp;width=385&amp;height=120&amp;START_MAXIMIZED=FALSE&amp;creator=factset&amp;display_string=Audit"}</definedName>
    <definedName name="_199__FDSAUDITLINK__">{"fdsup://Directions/FactSet Auditing Viewer?action=AUDIT_VALUE&amp;DB=129&amp;ID1=14912310&amp;VALUEID=02999&amp;SDATE=2009&amp;PERIODTYPE=ANN_STD&amp;SCFT=3&amp;window=popup_no_bar&amp;width=385&amp;height=120&amp;START_MAXIMIZED=FALSE&amp;creator=factset&amp;display_string=Audit"}</definedName>
    <definedName name="_2__123Graph_AChart_1A">'[18]Graph 1'!$C$61:$C$112</definedName>
    <definedName localSheetId="0" name="_2__123Graph_ACHART_3">'[17]Historical IS'!#REF!</definedName>
    <definedName name="_2__123Graph_ACHART_3">'[17]Historical IS'!#REF!</definedName>
    <definedName localSheetId="0" name="_2__123Graph_ACRECIM">'[1]Base diaria'!#REF!</definedName>
    <definedName name="_2__123Graph_ACRECIM">'[1]Base diaria'!#REF!</definedName>
    <definedName localSheetId="0" name="_2__123Graph_APBI_USA">'[1]Base diaria'!#REF!</definedName>
    <definedName name="_2__123Graph_APBI_USA">'[1]Base diaria'!#REF!</definedName>
    <definedName localSheetId="0" name="_2__123Graph_BCHART_1">'[20]HOSPICE OPSUM'!#REF!</definedName>
    <definedName name="_2__123Graph_BCHART_1">'[20]HOSPICE OPSUM'!#REF!</definedName>
    <definedName name="_2__123Graph_BChart_1A">[15]A!$C$98:$Q$98</definedName>
    <definedName name="_2__FDSAUDITLINK__">{"fdsup://directions/FAT Viewer?action=UPDATE&amp;creator=factset&amp;DYN_ARGS=TRUE&amp;DOC_NAME=FAT:FQL_AUDITING_CLIENT_TEMPLATE.FAT&amp;display_string=Audit&amp;VAR:KEY=YVQJGZGTCP&amp;VAR:QUERY=RkZfQlBTX1RBTkcoQU5OLC05LDAsWSxSUCxMT0NBTCxNKQ==&amp;WINDOW=FIRST_POPUP&amp;HEIGHT=450&amp;WIDTH=","450&amp;START_MAXIMIZED=FALSE&amp;VAR:CALENDAR=US&amp;VAR:SYMBOL=14912310&amp;VAR:INDEX=8"}</definedName>
    <definedName localSheetId="0" name="_20__123Graph_XCHART_3">'[17]Historical IS'!#REF!</definedName>
    <definedName name="_20__123Graph_XCHART_3">'[17]Historical IS'!#REF!</definedName>
    <definedName name="_20__FDSAUDITLINK__">{"fdsup://directions/FAT Viewer?action=UPDATE&amp;creator=factset&amp;DYN_ARGS=TRUE&amp;DOC_NAME=FAT:FQL_AUDITING_CLIENT_TEMPLATE.FAT&amp;display_string=Audit&amp;VAR:KEY=BKJKPMHKLK&amp;VAR:QUERY=RkZfSU5WRU5fREFZUyhBTk4sLTksMCxZLFJQKQ==&amp;WINDOW=FIRST_POPUP&amp;HEIGHT=450&amp;WIDTH=450&amp;STAR","T_MAXIMIZED=FALSE&amp;VAR:CALENDAR=US&amp;VAR:SYMBOL=14912310&amp;VAR:INDEX=8"}</definedName>
    <definedName name="_200__FDSAUDITLINK__">{"fdsup://Directions/FactSet Auditing Viewer?action=AUDIT_VALUE&amp;DB=129&amp;ID1=14912310&amp;VALUEID=18186&amp;SDATE=2006&amp;PERIODTYPE=ANN_STD&amp;SCFT=3&amp;window=popup_no_bar&amp;width=385&amp;height=120&amp;START_MAXIMIZED=FALSE&amp;creator=factset&amp;display_string=Audit"}</definedName>
    <definedName name="_201__FDSAUDITLINK__">{"fdsup://Directions/FactSet Auditing Viewer?action=AUDIT_VALUE&amp;DB=129&amp;ID1=14912310&amp;VALUEID=02999&amp;SDATE=2007&amp;PERIODTYPE=ANN_STD&amp;SCFT=3&amp;window=popup_no_bar&amp;width=385&amp;height=120&amp;START_MAXIMIZED=FALSE&amp;creator=factset&amp;display_string=Audit"}</definedName>
    <definedName name="_202__FDSAUDITLINK__">{"fdsup://Directions/FactSet Auditing Viewer?action=AUDIT_VALUE&amp;DB=129&amp;ID1=14912310&amp;VALUEID=02999&amp;SDATE=2006&amp;PERIODTYPE=ANN_STD&amp;SCFT=3&amp;window=popup_no_bar&amp;width=385&amp;height=120&amp;START_MAXIMIZED=FALSE&amp;creator=factset&amp;display_string=Audit"}</definedName>
    <definedName name="_203__FDSAUDITLINK__">{"fdsup://Directions/FactSet Auditing Viewer?action=AUDIT_VALUE&amp;DB=129&amp;ID1=14912310&amp;VALUEID=02999&amp;SDATE=2004&amp;PERIODTYPE=ANN_STD&amp;SCFT=3&amp;window=popup_no_bar&amp;width=385&amp;height=120&amp;START_MAXIMIZED=FALSE&amp;creator=factset&amp;display_string=Audit"}</definedName>
    <definedName name="_204__FDSAUDITLINK__">{"fdsup://Directions/FactSet Auditing Viewer?action=AUDIT_VALUE&amp;DB=129&amp;ID1=14912310&amp;VALUEID=01451&amp;SDATE=2008&amp;PERIODTYPE=ANN_STD&amp;SCFT=3&amp;window=popup_no_bar&amp;width=385&amp;height=120&amp;START_MAXIMIZED=FALSE&amp;creator=factset&amp;display_string=Audit"}</definedName>
    <definedName name="_205__FDSAUDITLINK__">{"fdsup://Directions/FactSet Auditing Viewer?action=AUDIT_VALUE&amp;DB=129&amp;ID1=14912310&amp;VALUEID=02648&amp;SDATE=2009&amp;PERIODTYPE=ANN_STD&amp;SCFT=3&amp;window=popup_no_bar&amp;width=385&amp;height=120&amp;START_MAXIMIZED=FALSE&amp;creator=factset&amp;display_string=Audit"}</definedName>
    <definedName name="_206__FDSAUDITLINK__">{"fdsup://Directions/FactSet Auditing Viewer?action=AUDIT_VALUE&amp;DB=129&amp;ID1=14912310&amp;VALUEID=01451&amp;SDATE=2006&amp;PERIODTYPE=ANN_STD&amp;SCFT=3&amp;window=popup_no_bar&amp;width=385&amp;height=120&amp;START_MAXIMIZED=FALSE&amp;creator=factset&amp;display_string=Audit"}</definedName>
    <definedName name="_207__FDSAUDITLINK__">{"fdsup://Directions/FactSet Auditing Viewer?action=AUDIT_VALUE&amp;DB=129&amp;ID1=14912310&amp;VALUEID=02648&amp;SDATE=2007&amp;PERIODTYPE=ANN_STD&amp;SCFT=3&amp;window=popup_no_bar&amp;width=385&amp;height=120&amp;START_MAXIMIZED=FALSE&amp;creator=factset&amp;display_string=Audit"}</definedName>
    <definedName name="_208__FDSAUDITLINK__">{"fdsup://Directions/FactSet Auditing Viewer?action=AUDIT_VALUE&amp;DB=129&amp;ID1=14912310&amp;VALUEID=02648&amp;SDATE=2006&amp;PERIODTYPE=ANN_STD&amp;SCFT=3&amp;window=popup_no_bar&amp;width=385&amp;height=120&amp;START_MAXIMIZED=FALSE&amp;creator=factset&amp;display_string=Audit"}</definedName>
    <definedName name="_209__FDSAUDITLINK__">{"fdsup://Directions/FactSet Auditing Viewer?action=AUDIT_VALUE&amp;DB=129&amp;ID1=14912310&amp;VALUEID=02648&amp;SDATE=2004&amp;PERIODTYPE=ANN_STD&amp;SCFT=3&amp;window=popup_no_bar&amp;width=385&amp;height=120&amp;START_MAXIMIZED=FALSE&amp;creator=factset&amp;display_string=Audit"}</definedName>
    <definedName localSheetId="0" name="_21__123Graph_XCHART_4">'[17]Historical IS'!#REF!</definedName>
    <definedName name="_21__123Graph_XCHART_4">'[17]Historical IS'!#REF!</definedName>
    <definedName name="_21__FDSAUDITLINK__">{"fdsup://directions/FAT Viewer?action=UPDATE&amp;creator=factset&amp;DYN_ARGS=TRUE&amp;DOC_NAME=FAT:FQL_AUDITING_CLIENT_TEMPLATE.FAT&amp;display_string=Audit&amp;VAR:KEY=BKJKPMHKLK&amp;VAR:QUERY=RkZfSU5WRU5fREFZUyhBTk4sLTksMCxZLFJQKQ==&amp;WINDOW=FIRST_POPUP&amp;HEIGHT=450&amp;WIDTH=450&amp;STAR","T_MAXIMIZED=FALSE&amp;VAR:CALENDAR=US&amp;VAR:SYMBOL=14912310&amp;VAR:INDEX=7"}</definedName>
    <definedName name="_210__FDSAUDITLINK__">{"fdsup://directions/FAT Viewer?action=UPDATE&amp;creator=factset&amp;DYN_ARGS=TRUE&amp;DOC_NAME=FAT:FQL_AUDITING_CLIENT_TEMPLATE.FAT&amp;display_string=Audit&amp;VAR:KEY=DWVURITILI&amp;VAR:QUERY=RkZfUFRYX01HTihBTk4sLTksMCxZLFJQLExPQ0FMLE0p&amp;WINDOW=FIRST_POPUP&amp;HEIGHT=450&amp;WIDTH=450&amp;","START_MAXIMIZED=FALSE&amp;VAR:CALENDAR=US&amp;VAR:SYMBOL=14912310&amp;VAR:INDEX=9"}</definedName>
    <definedName name="_211__FDSAUDITLINK__">{"fdsup://directions/FAT Viewer?action=UPDATE&amp;creator=factset&amp;DYN_ARGS=TRUE&amp;DOC_NAME=FAT:FQL_AUDITING_CLIENT_TEMPLATE.FAT&amp;display_string=Audit&amp;VAR:KEY=DWVURITILI&amp;VAR:QUERY=RkZfUFRYX01HTihBTk4sLTksMCxZLFJQLExPQ0FMLE0p&amp;WINDOW=FIRST_POPUP&amp;HEIGHT=450&amp;WIDTH=450&amp;","START_MAXIMIZED=FALSE&amp;VAR:CALENDAR=US&amp;VAR:SYMBOL=14912310&amp;VAR:INDEX=8"}</definedName>
    <definedName name="_212__FDSAUDITLINK__">{"fdsup://directions/FAT Viewer?action=UPDATE&amp;creator=factset&amp;DYN_ARGS=TRUE&amp;DOC_NAME=FAT:FQL_AUDITING_CLIENT_TEMPLATE.FAT&amp;display_string=Audit&amp;VAR:KEY=DWVURITILI&amp;VAR:QUERY=RkZfUFRYX01HTihBTk4sLTksMCxZLFJQLExPQ0FMLE0p&amp;WINDOW=FIRST_POPUP&amp;HEIGHT=450&amp;WIDTH=450&amp;","START_MAXIMIZED=FALSE&amp;VAR:CALENDAR=US&amp;VAR:SYMBOL=14912310&amp;VAR:INDEX=7"}</definedName>
    <definedName name="_213__FDSAUDITLINK__">{"fdsup://directions/FAT Viewer?action=UPDATE&amp;creator=factset&amp;DYN_ARGS=TRUE&amp;DOC_NAME=FAT:FQL_AUDITING_CLIENT_TEMPLATE.FAT&amp;display_string=Audit&amp;VAR:KEY=ERGBARQNCX&amp;VAR:QUERY=RkZfQVNTRVRTX09USChBTk4sLTksMCxZLFJQLExPQ0FMLE0p&amp;WINDOW=FIRST_POPUP&amp;HEIGHT=450&amp;WIDTH=","450&amp;START_MAXIMIZED=FALSE&amp;VAR:CALENDAR=US&amp;VAR:SYMBOL=14912310&amp;VAR:INDEX=9"}</definedName>
    <definedName name="_214__FDSAUDITLINK__">{"fdsup://directions/FAT Viewer?action=UPDATE&amp;creator=factset&amp;DYN_ARGS=TRUE&amp;DOC_NAME=FAT:FQL_AUDITING_CLIENT_TEMPLATE.FAT&amp;display_string=Audit&amp;VAR:KEY=ERGBARQNCX&amp;VAR:QUERY=RkZfQVNTRVRTX09USChBTk4sLTksMCxZLFJQLExPQ0FMLE0p&amp;WINDOW=FIRST_POPUP&amp;HEIGHT=450&amp;WIDTH=","450&amp;START_MAXIMIZED=FALSE&amp;VAR:CALENDAR=US&amp;VAR:SYMBOL=14912310&amp;VAR:INDEX=8"}</definedName>
    <definedName name="_215__FDSAUDITLINK__">{"fdsup://directions/FAT Viewer?action=UPDATE&amp;creator=factset&amp;DYN_ARGS=TRUE&amp;DOC_NAME=FAT:FQL_AUDITING_CLIENT_TEMPLATE.FAT&amp;display_string=Audit&amp;VAR:KEY=ERGBARQNCX&amp;VAR:QUERY=RkZfQVNTRVRTX09USChBTk4sLTksMCxZLFJQLExPQ0FMLE0p&amp;WINDOW=FIRST_POPUP&amp;HEIGHT=450&amp;WIDTH=","450&amp;START_MAXIMIZED=FALSE&amp;VAR:CALENDAR=US&amp;VAR:SYMBOL=14912310&amp;VAR:INDEX=7"}</definedName>
    <definedName name="_216__FDSAUDITLINK__">{"fdsup://directions/FAT Viewer?action=UPDATE&amp;creator=factset&amp;DYN_ARGS=TRUE&amp;DOC_NAME=FAT:FQL_AUDITING_CLIENT_TEMPLATE.FAT&amp;display_string=Audit&amp;VAR:KEY=ERGBARQNCX&amp;VAR:QUERY=RkZfQVNTRVRTX09USChBTk4sLTksMCxZLFJQLExPQ0FMLE0p&amp;WINDOW=FIRST_POPUP&amp;HEIGHT=450&amp;WIDTH=","450&amp;START_MAXIMIZED=FALSE&amp;VAR:CALENDAR=US&amp;VAR:SYMBOL=14912310&amp;VAR:INDEX=6"}</definedName>
    <definedName name="_217__FDSAUDITLINK__">{"fdsup://directions/FAT Viewer?action=UPDATE&amp;creator=factset&amp;DYN_ARGS=TRUE&amp;DOC_NAME=FAT:FQL_AUDITING_CLIENT_TEMPLATE.FAT&amp;display_string=Audit&amp;VAR:KEY=ERGBARQNCX&amp;VAR:QUERY=RkZfQVNTRVRTX09USChBTk4sLTksMCxZLFJQLExPQ0FMLE0p&amp;WINDOW=FIRST_POPUP&amp;HEIGHT=450&amp;WIDTH=","450&amp;START_MAXIMIZED=FALSE&amp;VAR:CALENDAR=US&amp;VAR:SYMBOL=14912310&amp;VAR:INDEX=5"}</definedName>
    <definedName name="_218__FDSAUDITLINK__">{"fdsup://directions/FAT Viewer?action=UPDATE&amp;creator=factset&amp;DYN_ARGS=TRUE&amp;DOC_NAME=FAT:FQL_AUDITING_CLIENT_TEMPLATE.FAT&amp;display_string=Audit&amp;VAR:KEY=ERGBARQNCX&amp;VAR:QUERY=RkZfQVNTRVRTX09USChBTk4sLTksMCxZLFJQLExPQ0FMLE0p&amp;WINDOW=FIRST_POPUP&amp;HEIGHT=450&amp;WIDTH=","450&amp;START_MAXIMIZED=FALSE&amp;VAR:CALENDAR=US&amp;VAR:SYMBOL=14912310&amp;VAR:INDEX=4"}</definedName>
    <definedName name="_219__FDSAUDITLINK__">{"fdsup://directions/FAT Viewer?action=UPDATE&amp;creator=factset&amp;DYN_ARGS=TRUE&amp;DOC_NAME=FAT:FQL_AUDITING_CLIENT_TEMPLATE.FAT&amp;display_string=Audit&amp;VAR:KEY=ERGBARQNCX&amp;VAR:QUERY=RkZfQVNTRVRTX09USChBTk4sLTksMCxZLFJQLExPQ0FMLE0p&amp;WINDOW=FIRST_POPUP&amp;HEIGHT=450&amp;WIDTH=","450&amp;START_MAXIMIZED=FALSE&amp;VAR:CALENDAR=US&amp;VAR:SYMBOL=14912310&amp;VAR:INDEX=3"}</definedName>
    <definedName localSheetId="0" name="_22__123Graph_XCHART_8">'[17]Historical IS'!#REF!</definedName>
    <definedName name="_22__123Graph_XCHART_8">'[17]Historical IS'!#REF!</definedName>
    <definedName name="_22__FDSAUDITLINK__">{"fdsup://directions/FAT Viewer?action=UPDATE&amp;creator=factset&amp;DYN_ARGS=TRUE&amp;DOC_NAME=FAT:FQL_AUDITING_CLIENT_TEMPLATE.FAT&amp;display_string=Audit&amp;VAR:KEY=BKJKPMHKLK&amp;VAR:QUERY=RkZfSU5WRU5fREFZUyhBTk4sLTksMCxZLFJQKQ==&amp;WINDOW=FIRST_POPUP&amp;HEIGHT=450&amp;WIDTH=450&amp;STAR","T_MAXIMIZED=FALSE&amp;VAR:CALENDAR=US&amp;VAR:SYMBOL=14912310&amp;VAR:INDEX=6"}</definedName>
    <definedName name="_220__FDSAUDITLINK__">{"fdsup://directions/FAT Viewer?action=UPDATE&amp;creator=factset&amp;DYN_ARGS=TRUE&amp;DOC_NAME=FAT:FQL_AUDITING_CLIENT_TEMPLATE.FAT&amp;display_string=Audit&amp;VAR:KEY=ERGBARQNCX&amp;VAR:QUERY=RkZfQVNTRVRTX09USChBTk4sLTksMCxZLFJQLExPQ0FMLE0p&amp;WINDOW=FIRST_POPUP&amp;HEIGHT=450&amp;WIDTH=","450&amp;START_MAXIMIZED=FALSE&amp;VAR:CALENDAR=US&amp;VAR:SYMBOL=14912310&amp;VAR:INDEX=2"}</definedName>
    <definedName name="_221__FDSAUDITLINK__">{"fdsup://directions/FAT Viewer?action=UPDATE&amp;creator=factset&amp;DYN_ARGS=TRUE&amp;DOC_NAME=FAT:FQL_AUDITING_CLIENT_TEMPLATE.FAT&amp;display_string=Audit&amp;VAR:KEY=ERGBARQNCX&amp;VAR:QUERY=RkZfQVNTRVRTX09USChBTk4sLTksMCxZLFJQLExPQ0FMLE0p&amp;WINDOW=FIRST_POPUP&amp;HEIGHT=450&amp;WIDTH=","450&amp;START_MAXIMIZED=FALSE&amp;VAR:CALENDAR=US&amp;VAR:SYMBOL=14912310&amp;VAR:INDEX=1"}</definedName>
    <definedName name="_222__FDSAUDITLINK__">{"fdsup://Directions/FactSet Auditing Viewer?action=AUDIT_VALUE&amp;DB=129&amp;ID1=14912310&amp;VALUEID=18184&amp;SDATE=2009&amp;PERIODTYPE=ANN_STD&amp;SCFT=3&amp;window=popup_no_bar&amp;width=385&amp;height=120&amp;START_MAXIMIZED=FALSE&amp;creator=factset&amp;display_string=Audit"}</definedName>
    <definedName name="_223__FDSAUDITLINK__">{"fdsup://directions/FAT Viewer?action=UPDATE&amp;creator=factset&amp;DYN_ARGS=TRUE&amp;DOC_NAME=FAT:FQL_AUDITING_CLIENT_TEMPLATE.FAT&amp;display_string=Audit&amp;VAR:KEY=QNCVEHMNAT&amp;VAR:QUERY=UENUQ0hHKEZGX1BUWF9JTkMoQU5OLC05LDAsWSxSUCxMT0NBTCxNKSxGRl9QVFhfSU5DKEFOTiwtMSwtOSAtI","DEsWSxSUCxMT0NBTCxNKSk=&amp;WINDOW=FIRST_POPUP&amp;HEIGHT=450&amp;WIDTH=450&amp;START_MAXIMIZED=FALSE&amp;VAR:CALENDAR=US&amp;VAR:SYMBOL=14912310&amp;VAR:INDEX=5"}</definedName>
    <definedName name="_224__FDSAUDITLINK__">{"fdsup://Directions/FactSet Auditing Viewer?action=AUDIT_VALUE&amp;DB=129&amp;ID1=14912310&amp;VALUEID=18184&amp;SDATE=2007&amp;PERIODTYPE=ANN_STD&amp;SCFT=3&amp;window=popup_no_bar&amp;width=385&amp;height=120&amp;START_MAXIMIZED=FALSE&amp;creator=factset&amp;display_string=Audit"}</definedName>
    <definedName name="_225__FDSAUDITLINK__">{"fdsup://Directions/FactSet Auditing Viewer?action=AUDIT_VALUE&amp;DB=129&amp;ID1=14912310&amp;VALUEID=18184&amp;SDATE=2006&amp;PERIODTYPE=ANN_STD&amp;SCFT=3&amp;window=popup_no_bar&amp;width=385&amp;height=120&amp;START_MAXIMIZED=FALSE&amp;creator=factset&amp;display_string=Audit"}</definedName>
    <definedName name="_226__FDSAUDITLINK__">{"fdsup://Directions/FactSet Auditing Viewer?action=AUDIT_VALUE&amp;DB=129&amp;ID1=14912310&amp;VALUEID=18184&amp;SDATE=2004&amp;PERIODTYPE=ANN_STD&amp;SCFT=3&amp;window=popup_no_bar&amp;width=385&amp;height=120&amp;START_MAXIMIZED=FALSE&amp;creator=factset&amp;display_string=Audit"}</definedName>
    <definedName name="_227__FDSAUDITLINK__">{"fdsup://directions/FAT Viewer?action=UPDATE&amp;creator=factset&amp;DYN_ARGS=TRUE&amp;DOC_NAME=FAT:FQL_AUDITING_CLIENT_TEMPLATE.FAT&amp;display_string=Audit&amp;VAR:KEY=QNCVEHMNAT&amp;VAR:QUERY=UENUQ0hHKEZGX1BUWF9JTkMoQU5OLC05LDAsWSxSUCxMT0NBTCxNKSxGRl9QVFhfSU5DKEFOTiwtMSwtOSAtI","DEsWSxSUCxMT0NBTCxNKSk=&amp;WINDOW=FIRST_POPUP&amp;HEIGHT=450&amp;WIDTH=450&amp;START_MAXIMIZED=FALSE&amp;VAR:CALENDAR=US&amp;VAR:SYMBOL=14912310&amp;VAR:INDEX=1"}</definedName>
    <definedName name="_228__FDSAUDITLINK__">{"fdsup://directions/FAT Viewer?action=UPDATE&amp;creator=factset&amp;DYN_ARGS=TRUE&amp;DOC_NAME=FAT:FQL_AUDITING_CLIENT_TEMPLATE.FAT&amp;display_string=Audit&amp;VAR:KEY=GLITAHGHCD&amp;VAR:QUERY=RkZfSU5UQU5HX09USChBTk4sLTksMCxZLFJQLExPQ0FMLE0p&amp;WINDOW=FIRST_POPUP&amp;HEIGHT=450&amp;WIDTH=","450&amp;START_MAXIMIZED=FALSE&amp;VAR:CALENDAR=US&amp;VAR:SYMBOL=14912310&amp;VAR:INDEX=9"}</definedName>
    <definedName name="_229__FDSAUDITLINK__">{"fdsup://directions/FAT Viewer?action=UPDATE&amp;creator=factset&amp;DYN_ARGS=TRUE&amp;DOC_NAME=FAT:FQL_AUDITING_CLIENT_TEMPLATE.FAT&amp;display_string=Audit&amp;VAR:KEY=GLITAHGHCD&amp;VAR:QUERY=RkZfSU5UQU5HX09USChBTk4sLTksMCxZLFJQLExPQ0FMLE0p&amp;WINDOW=FIRST_POPUP&amp;HEIGHT=450&amp;WIDTH=","450&amp;START_MAXIMIZED=FALSE&amp;VAR:CALENDAR=US&amp;VAR:SYMBOL=14912310&amp;VAR:INDEX=8"}</definedName>
    <definedName name="_23">{"COUNT",#N/A,FALSE,"AB"}</definedName>
    <definedName name="_23__FDSAUDITLINK__">{"fdsup://directions/FAT Viewer?action=UPDATE&amp;creator=factset&amp;DYN_ARGS=TRUE&amp;DOC_NAME=FAT:FQL_AUDITING_CLIENT_TEMPLATE.FAT&amp;display_string=Audit&amp;VAR:KEY=BKJKPMHKLK&amp;VAR:QUERY=RkZfSU5WRU5fREFZUyhBTk4sLTksMCxZLFJQKQ==&amp;WINDOW=FIRST_POPUP&amp;HEIGHT=450&amp;WIDTH=450&amp;STAR","T_MAXIMIZED=FALSE&amp;VAR:CALENDAR=US&amp;VAR:SYMBOL=14912310&amp;VAR:INDEX=5"}</definedName>
    <definedName name="_230__FDSAUDITLINK__">{"fdsup://directions/FAT Viewer?action=UPDATE&amp;creator=factset&amp;DYN_ARGS=TRUE&amp;DOC_NAME=FAT:FQL_AUDITING_CLIENT_TEMPLATE.FAT&amp;display_string=Audit&amp;VAR:KEY=GLITAHGHCD&amp;VAR:QUERY=RkZfSU5UQU5HX09USChBTk4sLTksMCxZLFJQLExPQ0FMLE0p&amp;WINDOW=FIRST_POPUP&amp;HEIGHT=450&amp;WIDTH=","450&amp;START_MAXIMIZED=FALSE&amp;VAR:CALENDAR=US&amp;VAR:SYMBOL=14912310&amp;VAR:INDEX=7"}</definedName>
    <definedName name="_231__FDSAUDITLINK__">{"fdsup://directions/FAT Viewer?action=UPDATE&amp;creator=factset&amp;DYN_ARGS=TRUE&amp;DOC_NAME=FAT:FQL_AUDITING_CLIENT_TEMPLATE.FAT&amp;display_string=Audit&amp;VAR:KEY=GLITAHGHCD&amp;VAR:QUERY=RkZfSU5UQU5HX09USChBTk4sLTksMCxZLFJQLExPQ0FMLE0p&amp;WINDOW=FIRST_POPUP&amp;HEIGHT=450&amp;WIDTH=","450&amp;START_MAXIMIZED=FALSE&amp;VAR:CALENDAR=US&amp;VAR:SYMBOL=14912310&amp;VAR:INDEX=6"}</definedName>
    <definedName name="_232__FDSAUDITLINK__">{"fdsup://directions/FAT Viewer?action=UPDATE&amp;creator=factset&amp;DYN_ARGS=TRUE&amp;DOC_NAME=FAT:FQL_AUDITING_CLIENT_TEMPLATE.FAT&amp;display_string=Audit&amp;VAR:KEY=GLITAHGHCD&amp;VAR:QUERY=RkZfSU5UQU5HX09USChBTk4sLTksMCxZLFJQLExPQ0FMLE0p&amp;WINDOW=FIRST_POPUP&amp;HEIGHT=450&amp;WIDTH=","450&amp;START_MAXIMIZED=FALSE&amp;VAR:CALENDAR=US&amp;VAR:SYMBOL=14912310&amp;VAR:INDEX=5"}</definedName>
    <definedName name="_233__FDSAUDITLINK__">{"fdsup://directions/FAT Viewer?action=UPDATE&amp;creator=factset&amp;DYN_ARGS=TRUE&amp;DOC_NAME=FAT:FQL_AUDITING_CLIENT_TEMPLATE.FAT&amp;display_string=Audit&amp;VAR:KEY=GLITAHGHCD&amp;VAR:QUERY=RkZfSU5UQU5HX09USChBTk4sLTksMCxZLFJQLExPQ0FMLE0p&amp;WINDOW=FIRST_POPUP&amp;HEIGHT=450&amp;WIDTH=","450&amp;START_MAXIMIZED=FALSE&amp;VAR:CALENDAR=US&amp;VAR:SYMBOL=14912310&amp;VAR:INDEX=4"}</definedName>
    <definedName name="_234__FDSAUDITLINK__">{"fdsup://directions/FAT Viewer?action=UPDATE&amp;creator=factset&amp;DYN_ARGS=TRUE&amp;DOC_NAME=FAT:FQL_AUDITING_CLIENT_TEMPLATE.FAT&amp;display_string=Audit&amp;VAR:KEY=GLITAHGHCD&amp;VAR:QUERY=RkZfSU5UQU5HX09USChBTk4sLTksMCxZLFJQLExPQ0FMLE0p&amp;WINDOW=FIRST_POPUP&amp;HEIGHT=450&amp;WIDTH=","450&amp;START_MAXIMIZED=FALSE&amp;VAR:CALENDAR=US&amp;VAR:SYMBOL=14912310&amp;VAR:INDEX=3"}</definedName>
    <definedName name="_235__FDSAUDITLINK__">{"fdsup://directions/FAT Viewer?action=UPDATE&amp;creator=factset&amp;DYN_ARGS=TRUE&amp;DOC_NAME=FAT:FQL_AUDITING_CLIENT_TEMPLATE.FAT&amp;display_string=Audit&amp;VAR:KEY=GLITAHGHCD&amp;VAR:QUERY=RkZfSU5UQU5HX09USChBTk4sLTksMCxZLFJQLExPQ0FMLE0p&amp;WINDOW=FIRST_POPUP&amp;HEIGHT=450&amp;WIDTH=","450&amp;START_MAXIMIZED=FALSE&amp;VAR:CALENDAR=US&amp;VAR:SYMBOL=14912310&amp;VAR:INDEX=2"}</definedName>
    <definedName name="_236__FDSAUDITLINK__">{"fdsup://directions/FAT Viewer?action=UPDATE&amp;creator=factset&amp;DYN_ARGS=TRUE&amp;DOC_NAME=FAT:FQL_AUDITING_CLIENT_TEMPLATE.FAT&amp;display_string=Audit&amp;VAR:KEY=GLITAHGHCD&amp;VAR:QUERY=RkZfSU5UQU5HX09USChBTk4sLTksMCxZLFJQLExPQ0FMLE0p&amp;WINDOW=FIRST_POPUP&amp;HEIGHT=450&amp;WIDTH=","450&amp;START_MAXIMIZED=FALSE&amp;VAR:CALENDAR=US&amp;VAR:SYMBOL=14912310&amp;VAR:INDEX=1"}</definedName>
    <definedName name="_237__FDSAUDITLINK__">{"fdsup://Directions/FactSet Auditing Viewer?action=AUDIT_VALUE&amp;DB=129&amp;ID1=14912310&amp;VALUEID=18280&amp;SDATE=2009&amp;PERIODTYPE=ANN_STD&amp;SCFT=3&amp;window=popup_no_bar&amp;width=385&amp;height=120&amp;START_MAXIMIZED=FALSE&amp;creator=factset&amp;display_string=Audit"}</definedName>
    <definedName name="_238__FDSAUDITLINK__">{"fdsup://directions/FAT Viewer?action=UPDATE&amp;creator=factset&amp;DYN_ARGS=TRUE&amp;DOC_NAME=FAT:FQL_AUDITING_CLIENT_TEMPLATE.FAT&amp;display_string=Audit&amp;VAR:KEY=KPQNYXOTGR&amp;VAR:QUERY=RkZfT1RIX1VOVVNVQUxfRVhQKEFOTiwtOSwwLFksUlAsTE9DQUwsTSk=&amp;WINDOW=FIRST_POPUP&amp;HEIGHT=45","0&amp;WIDTH=450&amp;START_MAXIMIZED=FALSE&amp;VAR:CALENDAR=US&amp;VAR:SYMBOL=14912310&amp;VAR:INDEX=6"}</definedName>
    <definedName name="_239__FDSAUDITLINK__">{"fdsup://Directions/FactSet Auditing Viewer?action=AUDIT_VALUE&amp;DB=129&amp;ID1=14912310&amp;VALUEID=18280&amp;SDATE=2007&amp;PERIODTYPE=ANN_STD&amp;SCFT=3&amp;window=popup_no_bar&amp;width=385&amp;height=120&amp;START_MAXIMIZED=FALSE&amp;creator=factset&amp;display_string=Audit"}</definedName>
    <definedName name="_24__FDSAUDITLINK__">{"fdsup://directions/FAT Viewer?action=UPDATE&amp;creator=factset&amp;DYN_ARGS=TRUE&amp;DOC_NAME=FAT:FQL_AUDITING_CLIENT_TEMPLATE.FAT&amp;display_string=Audit&amp;VAR:KEY=BKJKPMHKLK&amp;VAR:QUERY=RkZfSU5WRU5fREFZUyhBTk4sLTksMCxZLFJQKQ==&amp;WINDOW=FIRST_POPUP&amp;HEIGHT=450&amp;WIDTH=450&amp;STAR","T_MAXIMIZED=FALSE&amp;VAR:CALENDAR=US&amp;VAR:SYMBOL=14912310&amp;VAR:INDEX=4"}</definedName>
    <definedName name="_240__FDSAUDITLINK__">{"fdsup://Directions/FactSet Auditing Viewer?action=AUDIT_VALUE&amp;DB=129&amp;ID1=14912310&amp;VALUEID=18280&amp;SDATE=2006&amp;PERIODTYPE=ANN_STD&amp;SCFT=3&amp;window=popup_no_bar&amp;width=385&amp;height=120&amp;START_MAXIMIZED=FALSE&amp;creator=factset&amp;display_string=Audit"}</definedName>
    <definedName name="_241__FDSAUDITLINK__">{"fdsup://Directions/FactSet Auditing Viewer?action=AUDIT_VALUE&amp;DB=129&amp;ID1=14912310&amp;VALUEID=18280&amp;SDATE=2004&amp;PERIODTYPE=ANN_STD&amp;SCFT=3&amp;window=popup_no_bar&amp;width=385&amp;height=120&amp;START_MAXIMIZED=FALSE&amp;creator=factset&amp;display_string=Audit"}</definedName>
    <definedName name="_242__FDSAUDITLINK__">{"fdsup://directions/FAT Viewer?action=UPDATE&amp;creator=factset&amp;DYN_ARGS=TRUE&amp;DOC_NAME=FAT:FQL_AUDITING_CLIENT_TEMPLATE.FAT&amp;display_string=Audit&amp;VAR:KEY=KPQNYXOTGR&amp;VAR:QUERY=RkZfT1RIX1VOVVNVQUxfRVhQKEFOTiwtOSwwLFksUlAsTE9DQUwsTSk=&amp;WINDOW=FIRST_POPUP&amp;HEIGHT=45","0&amp;WIDTH=450&amp;START_MAXIMIZED=FALSE&amp;VAR:CALENDAR=US&amp;VAR:SYMBOL=14912310&amp;VAR:INDEX=2"}</definedName>
    <definedName name="_243__FDSAUDITLINK__">{"fdsup://Directions/FactSet Auditing Viewer?action=AUDIT_VALUE&amp;DB=129&amp;ID1=14912310&amp;VALUEID=02649&amp;SDATE=2009&amp;PERIODTYPE=ANN_STD&amp;SCFT=3&amp;window=popup_no_bar&amp;width=385&amp;height=120&amp;START_MAXIMIZED=FALSE&amp;creator=factset&amp;display_string=Audit"}</definedName>
    <definedName name="_244__FDSAUDITLINK__">{"fdsup://directions/FAT Viewer?action=UPDATE&amp;creator=factset&amp;DYN_ARGS=TRUE&amp;DOC_NAME=FAT:FQL_AUDITING_CLIENT_TEMPLATE.FAT&amp;display_string=Audit&amp;VAR:KEY=DMPQRSHWBG&amp;VAR:QUERY=RkZfVU5SRUFMX0lOVkVTVF9HTChBTk4sLTksMCxZLFJQLExPQ0FMLE0p&amp;WINDOW=FIRST_POPUP&amp;HEIGHT=45","0&amp;WIDTH=450&amp;START_MAXIMIZED=FALSE&amp;VAR:CALENDAR=US&amp;VAR:SYMBOL=14912310&amp;VAR:INDEX=9"}</definedName>
    <definedName name="_245__FDSAUDITLINK__">{"fdsup://Directions/FactSet Auditing Viewer?action=AUDIT_VALUE&amp;DB=129&amp;ID1=14912310&amp;VALUEID=02649&amp;SDATE=2007&amp;PERIODTYPE=ANN_STD&amp;SCFT=3&amp;window=popup_no_bar&amp;width=385&amp;height=120&amp;START_MAXIMIZED=FALSE&amp;creator=factset&amp;display_string=Audit"}</definedName>
    <definedName name="_246__FDSAUDITLINK__">{"fdsup://Directions/FactSet Auditing Viewer?action=AUDIT_VALUE&amp;DB=129&amp;ID1=14912310&amp;VALUEID=02649&amp;SDATE=2006&amp;PERIODTYPE=ANN_STD&amp;SCFT=3&amp;window=popup_no_bar&amp;width=385&amp;height=120&amp;START_MAXIMIZED=FALSE&amp;creator=factset&amp;display_string=Audit"}</definedName>
    <definedName name="_247__FDSAUDITLINK__">{"fdsup://Directions/FactSet Auditing Viewer?action=AUDIT_VALUE&amp;DB=129&amp;ID1=14912310&amp;VALUEID=02649&amp;SDATE=2004&amp;PERIODTYPE=ANN_STD&amp;SCFT=3&amp;window=popup_no_bar&amp;width=385&amp;height=120&amp;START_MAXIMIZED=FALSE&amp;creator=factset&amp;display_string=Audit"}</definedName>
    <definedName name="_248__FDSAUDITLINK__">{"fdsup://directions/FAT Viewer?action=UPDATE&amp;creator=factset&amp;DYN_ARGS=TRUE&amp;DOC_NAME=FAT:FQL_AUDITING_CLIENT_TEMPLATE.FAT&amp;display_string=Audit&amp;VAR:KEY=DMPQRSHWBG&amp;VAR:QUERY=RkZfVU5SRUFMX0lOVkVTVF9HTChBTk4sLTksMCxZLFJQLExPQ0FMLE0p&amp;WINDOW=FIRST_POPUP&amp;HEIGHT=45","0&amp;WIDTH=450&amp;START_MAXIMIZED=FALSE&amp;VAR:CALENDAR=US&amp;VAR:SYMBOL=14912310&amp;VAR:INDEX=5"}</definedName>
    <definedName name="_249__FDSAUDITLINK__">{"fdsup://Directions/FactSet Auditing Viewer?action=AUDIT_VALUE&amp;DB=129&amp;ID1=14912310&amp;VALUEID=02258&amp;SDATE=2009&amp;PERIODTYPE=ANN_STD&amp;SCFT=3&amp;window=popup_no_bar&amp;width=385&amp;height=120&amp;START_MAXIMIZED=FALSE&amp;creator=factset&amp;display_string=Audit"}</definedName>
    <definedName name="_25__FDSAUDITLINK__">{"fdsup://directions/FAT Viewer?action=UPDATE&amp;creator=factset&amp;DYN_ARGS=TRUE&amp;DOC_NAME=FAT:FQL_AUDITING_CLIENT_TEMPLATE.FAT&amp;display_string=Audit&amp;VAR:KEY=BKJKPMHKLK&amp;VAR:QUERY=RkZfSU5WRU5fREFZUyhBTk4sLTksMCxZLFJQKQ==&amp;WINDOW=FIRST_POPUP&amp;HEIGHT=450&amp;WIDTH=450&amp;STAR","T_MAXIMIZED=FALSE&amp;VAR:CALENDAR=US&amp;VAR:SYMBOL=14912310&amp;VAR:INDEX=3"}</definedName>
    <definedName name="_250__FDSAUDITLINK__">{"fdsup://directions/FAT Viewer?action=UPDATE&amp;creator=factset&amp;DYN_ARGS=TRUE&amp;DOC_NAME=FAT:FQL_AUDITING_CLIENT_TEMPLATE.FAT&amp;display_string=Audit&amp;VAR:KEY=DMPQRSHWBG&amp;VAR:QUERY=RkZfVU5SRUFMX0lOVkVTVF9HTChBTk4sLTksMCxZLFJQLExPQ0FMLE0p&amp;WINDOW=FIRST_POPUP&amp;HEIGHT=45","0&amp;WIDTH=450&amp;START_MAXIMIZED=FALSE&amp;VAR:CALENDAR=US&amp;VAR:SYMBOL=14912310&amp;VAR:INDEX=3"}</definedName>
    <definedName name="_251__FDSAUDITLINK__">{"fdsup://Directions/FactSet Auditing Viewer?action=AUDIT_VALUE&amp;DB=129&amp;ID1=14912310&amp;VALUEID=02258&amp;SDATE=2007&amp;PERIODTYPE=ANN_STD&amp;SCFT=3&amp;window=popup_no_bar&amp;width=385&amp;height=120&amp;START_MAXIMIZED=FALSE&amp;creator=factset&amp;display_string=Audit"}</definedName>
    <definedName name="_252__FDSAUDITLINK__">{"fdsup://Directions/FactSet Auditing Viewer?action=AUDIT_VALUE&amp;DB=129&amp;ID1=14912310&amp;VALUEID=02258&amp;SDATE=2006&amp;PERIODTYPE=ANN_STD&amp;SCFT=3&amp;window=popup_no_bar&amp;width=385&amp;height=120&amp;START_MAXIMIZED=FALSE&amp;creator=factset&amp;display_string=Audit"}</definedName>
    <definedName name="_253__FDSAUDITLINK__">{"fdsup://Directions/FactSet Auditing Viewer?action=AUDIT_VALUE&amp;DB=129&amp;ID1=14912310&amp;VALUEID=02258&amp;SDATE=2004&amp;PERIODTYPE=ANN_STD&amp;SCFT=3&amp;window=popup_no_bar&amp;width=385&amp;height=120&amp;START_MAXIMIZED=FALSE&amp;creator=factset&amp;display_string=Audit"}</definedName>
    <definedName name="_254__FDSAUDITLINK__">{"fdsup://directions/FAT Viewer?action=UPDATE&amp;creator=factset&amp;DYN_ARGS=TRUE&amp;DOC_NAME=FAT:FQL_AUDITING_CLIENT_TEMPLATE.FAT&amp;display_string=Audit&amp;VAR:KEY=ELOLAHSNUP&amp;VAR:QUERY=RkZfSU1QQUlSX0lOVEFOR19PVEgoQU5OLC05LDAsWSxSUCxMT0NBTCxNKQ==&amp;WINDOW=FIRST_POPUP&amp;HEIGH","T=450&amp;WIDTH=450&amp;START_MAXIMIZED=FALSE&amp;VAR:CALENDAR=US&amp;VAR:SYMBOL=14912310&amp;VAR:INDEX=8"}</definedName>
    <definedName name="_255__FDSAUDITLINK__">{"fdsup://directions/FAT Viewer?action=UPDATE&amp;creator=factset&amp;DYN_ARGS=TRUE&amp;DOC_NAME=FAT:FQL_AUDITING_CLIENT_TEMPLATE.FAT&amp;display_string=Audit&amp;VAR:KEY=ELOLAHSNUP&amp;VAR:QUERY=RkZfSU1QQUlSX0lOVEFOR19PVEgoQU5OLC05LDAsWSxSUCxMT0NBTCxNKQ==&amp;WINDOW=FIRST_POPUP&amp;HEIGH","T=450&amp;WIDTH=450&amp;START_MAXIMIZED=FALSE&amp;VAR:CALENDAR=US&amp;VAR:SYMBOL=14912310&amp;VAR:INDEX=7"}</definedName>
    <definedName name="_256__FDSAUDITLINK__">{"fdsup://Directions/FactSet Auditing Viewer?action=AUDIT_VALUE&amp;DB=129&amp;ID1=14912310&amp;VALUEID=02250&amp;SDATE=2007&amp;PERIODTYPE=ANN_STD&amp;SCFT=3&amp;window=popup_no_bar&amp;width=385&amp;height=120&amp;START_MAXIMIZED=FALSE&amp;creator=factset&amp;display_string=Audit"}</definedName>
    <definedName name="_257__FDSAUDITLINK__">{"fdsup://Directions/FactSet Auditing Viewer?action=AUDIT_VALUE&amp;DB=129&amp;ID1=14912310&amp;VALUEID=02250&amp;SDATE=2006&amp;PERIODTYPE=ANN_STD&amp;SCFT=3&amp;window=popup_no_bar&amp;width=385&amp;height=120&amp;START_MAXIMIZED=FALSE&amp;creator=factset&amp;display_string=Audit"}</definedName>
    <definedName name="_258__FDSAUDITLINK__">{"fdsup://Directions/FactSet Auditing Viewer?action=AUDIT_VALUE&amp;DB=129&amp;ID1=14912310&amp;VALUEID=02256&amp;SDATE=2009&amp;PERIODTYPE=ANN_STD&amp;SCFT=3&amp;window=popup_no_bar&amp;width=385&amp;height=120&amp;START_MAXIMIZED=FALSE&amp;creator=factset&amp;display_string=Audit"}</definedName>
    <definedName name="_259__FDSAUDITLINK__">{"fdsup://Directions/FactSet Auditing Viewer?action=AUDIT_VALUE&amp;DB=129&amp;ID1=14912310&amp;VALUEID=02256&amp;SDATE=2007&amp;PERIODTYPE=ANN_STD&amp;SCFT=3&amp;window=popup_no_bar&amp;width=385&amp;height=120&amp;START_MAXIMIZED=FALSE&amp;creator=factset&amp;display_string=Audit"}</definedName>
    <definedName name="_26__FDSAUDITLINK__">{"fdsup://directions/FAT Viewer?action=UPDATE&amp;creator=factset&amp;DYN_ARGS=TRUE&amp;DOC_NAME=FAT:FQL_AUDITING_CLIENT_TEMPLATE.FAT&amp;display_string=Audit&amp;VAR:KEY=BKJKPMHKLK&amp;VAR:QUERY=RkZfSU5WRU5fREFZUyhBTk4sLTksMCxZLFJQKQ==&amp;WINDOW=FIRST_POPUP&amp;HEIGHT=450&amp;WIDTH=450&amp;STAR","T_MAXIMIZED=FALSE&amp;VAR:CALENDAR=US&amp;VAR:SYMBOL=14912310&amp;VAR:INDEX=2"}</definedName>
    <definedName name="_260__FDSAUDITLINK__">{"fdsup://Directions/FactSet Auditing Viewer?action=AUDIT_VALUE&amp;DB=129&amp;ID1=14912310&amp;VALUEID=02256&amp;SDATE=2006&amp;PERIODTYPE=ANN_STD&amp;SCFT=3&amp;window=popup_no_bar&amp;width=385&amp;height=120&amp;START_MAXIMIZED=FALSE&amp;creator=factset&amp;display_string=Audit"}</definedName>
    <definedName name="_261__FDSAUDITLINK__">{"fdsup://Directions/FactSet Auditing Viewer?action=AUDIT_VALUE&amp;DB=129&amp;ID1=14912310&amp;VALUEID=02256&amp;SDATE=2004&amp;PERIODTYPE=ANN_STD&amp;SCFT=3&amp;window=popup_no_bar&amp;width=385&amp;height=120&amp;START_MAXIMIZED=FALSE&amp;creator=factset&amp;display_string=Audit"}</definedName>
    <definedName name="_262__FDSAUDITLINK__">{"fdsup://directions/FAT Viewer?action=UPDATE&amp;creator=factset&amp;DYN_ARGS=TRUE&amp;DOC_NAME=FAT:FQL_AUDITING_CLIENT_TEMPLATE.FAT&amp;display_string=Audit&amp;VAR:KEY=POJALOBAZC&amp;VAR:QUERY=RkZfTEVHQUxfQ0xBSU1fRVhQKEFOTiwtOSwwLFksUlAsTE9DQUwsTSk=&amp;WINDOW=FIRST_POPUP&amp;HEIGHT=45","0&amp;WIDTH=450&amp;START_MAXIMIZED=FALSE&amp;VAR:CALENDAR=US&amp;VAR:SYMBOL=14912310&amp;VAR:INDEX=9"}</definedName>
    <definedName name="_263__FDSAUDITLINK__">{"fdsup://directions/FAT Viewer?action=UPDATE&amp;creator=factset&amp;DYN_ARGS=TRUE&amp;DOC_NAME=FAT:FQL_AUDITING_CLIENT_TEMPLATE.FAT&amp;display_string=Audit&amp;VAR:KEY=IVSXSFOTUT&amp;VAR:QUERY=RkZfSU5WRVNUX0FEVihBTk4sLTksMCxZLFJQLExPQ0FMLE0p&amp;WINDOW=FIRST_POPUP&amp;HEIGHT=450&amp;WIDTH=","450&amp;START_MAXIMIZED=FALSE&amp;VAR:CALENDAR=US&amp;VAR:SYMBOL=14912310&amp;VAR:INDEX=9"}</definedName>
    <definedName name="_264__FDSAUDITLINK__">{"fdsup://directions/FAT Viewer?action=UPDATE&amp;creator=factset&amp;DYN_ARGS=TRUE&amp;DOC_NAME=FAT:FQL_AUDITING_CLIENT_TEMPLATE.FAT&amp;display_string=Audit&amp;VAR:KEY=IVSXSFOTUT&amp;VAR:QUERY=RkZfSU5WRVNUX0FEVihBTk4sLTksMCxZLFJQLExPQ0FMLE0p&amp;WINDOW=FIRST_POPUP&amp;HEIGHT=450&amp;WIDTH=","450&amp;START_MAXIMIZED=FALSE&amp;VAR:CALENDAR=US&amp;VAR:SYMBOL=14912310&amp;VAR:INDEX=8"}</definedName>
    <definedName name="_265__FDSAUDITLINK__">{"fdsup://directions/FAT Viewer?action=UPDATE&amp;creator=factset&amp;DYN_ARGS=TRUE&amp;DOC_NAME=FAT:FQL_AUDITING_CLIENT_TEMPLATE.FAT&amp;display_string=Audit&amp;VAR:KEY=IVSXSFOTUT&amp;VAR:QUERY=RkZfSU5WRVNUX0FEVihBTk4sLTksMCxZLFJQLExPQ0FMLE0p&amp;WINDOW=FIRST_POPUP&amp;HEIGHT=450&amp;WIDTH=","450&amp;START_MAXIMIZED=FALSE&amp;VAR:CALENDAR=US&amp;VAR:SYMBOL=14912310&amp;VAR:INDEX=7"}</definedName>
    <definedName name="_266__FDSAUDITLINK__">{"fdsup://directions/FAT Viewer?action=UPDATE&amp;creator=factset&amp;DYN_ARGS=TRUE&amp;DOC_NAME=FAT:FQL_AUDITING_CLIENT_TEMPLATE.FAT&amp;display_string=Audit&amp;VAR:KEY=IVSXSFOTUT&amp;VAR:QUERY=RkZfSU5WRVNUX0FEVihBTk4sLTksMCxZLFJQLExPQ0FMLE0p&amp;WINDOW=FIRST_POPUP&amp;HEIGHT=450&amp;WIDTH=","450&amp;START_MAXIMIZED=FALSE&amp;VAR:CALENDAR=US&amp;VAR:SYMBOL=14912310&amp;VAR:INDEX=6"}</definedName>
    <definedName name="_267__FDSAUDITLINK__">{"fdsup://directions/FAT Viewer?action=UPDATE&amp;creator=factset&amp;DYN_ARGS=TRUE&amp;DOC_NAME=FAT:FQL_AUDITING_CLIENT_TEMPLATE.FAT&amp;display_string=Audit&amp;VAR:KEY=IVSXSFOTUT&amp;VAR:QUERY=RkZfSU5WRVNUX0FEVihBTk4sLTksMCxZLFJQLExPQ0FMLE0p&amp;WINDOW=FIRST_POPUP&amp;HEIGHT=450&amp;WIDTH=","450&amp;START_MAXIMIZED=FALSE&amp;VAR:CALENDAR=US&amp;VAR:SYMBOL=14912310&amp;VAR:INDEX=5"}</definedName>
    <definedName name="_268__FDSAUDITLINK__">{"fdsup://directions/FAT Viewer?action=UPDATE&amp;creator=factset&amp;DYN_ARGS=TRUE&amp;DOC_NAME=FAT:FQL_AUDITING_CLIENT_TEMPLATE.FAT&amp;display_string=Audit&amp;VAR:KEY=IVSXSFOTUT&amp;VAR:QUERY=RkZfSU5WRVNUX0FEVihBTk4sLTksMCxZLFJQLExPQ0FMLE0p&amp;WINDOW=FIRST_POPUP&amp;HEIGHT=450&amp;WIDTH=","450&amp;START_MAXIMIZED=FALSE&amp;VAR:CALENDAR=US&amp;VAR:SYMBOL=14912310&amp;VAR:INDEX=4"}</definedName>
    <definedName name="_269__FDSAUDITLINK__">{"fdsup://directions/FAT Viewer?action=UPDATE&amp;creator=factset&amp;DYN_ARGS=TRUE&amp;DOC_NAME=FAT:FQL_AUDITING_CLIENT_TEMPLATE.FAT&amp;display_string=Audit&amp;VAR:KEY=IVSXSFOTUT&amp;VAR:QUERY=RkZfSU5WRVNUX0FEVihBTk4sLTksMCxZLFJQLExPQ0FMLE0p&amp;WINDOW=FIRST_POPUP&amp;HEIGHT=450&amp;WIDTH=","450&amp;START_MAXIMIZED=FALSE&amp;VAR:CALENDAR=US&amp;VAR:SYMBOL=14912310&amp;VAR:INDEX=3"}</definedName>
    <definedName name="_27__FDSAUDITLINK__">{"fdsup://directions/FAT Viewer?action=UPDATE&amp;creator=factset&amp;DYN_ARGS=TRUE&amp;DOC_NAME=FAT:FQL_AUDITING_CLIENT_TEMPLATE.FAT&amp;display_string=Audit&amp;VAR:KEY=BKJKPMHKLK&amp;VAR:QUERY=RkZfSU5WRU5fREFZUyhBTk4sLTksMCxZLFJQKQ==&amp;WINDOW=FIRST_POPUP&amp;HEIGHT=450&amp;WIDTH=450&amp;STAR","T_MAXIMIZED=FALSE&amp;VAR:CALENDAR=US&amp;VAR:SYMBOL=14912310&amp;VAR:INDEX=1"}</definedName>
    <definedName name="_270__FDSAUDITLINK__">{"fdsup://directions/FAT Viewer?action=UPDATE&amp;creator=factset&amp;DYN_ARGS=TRUE&amp;DOC_NAME=FAT:FQL_AUDITING_CLIENT_TEMPLATE.FAT&amp;display_string=Audit&amp;VAR:KEY=IVSXSFOTUT&amp;VAR:QUERY=RkZfSU5WRVNUX0FEVihBTk4sLTksMCxZLFJQLExPQ0FMLE0p&amp;WINDOW=FIRST_POPUP&amp;HEIGHT=450&amp;WIDTH=","450&amp;START_MAXIMIZED=FALSE&amp;VAR:CALENDAR=US&amp;VAR:SYMBOL=14912310&amp;VAR:INDEX=2"}</definedName>
    <definedName name="_271__FDSAUDITLINK__">{"fdsup://directions/FAT Viewer?action=UPDATE&amp;creator=factset&amp;DYN_ARGS=TRUE&amp;DOC_NAME=FAT:FQL_AUDITING_CLIENT_TEMPLATE.FAT&amp;display_string=Audit&amp;VAR:KEY=IVSXSFOTUT&amp;VAR:QUERY=RkZfSU5WRVNUX0FEVihBTk4sLTksMCxZLFJQLExPQ0FMLE0p&amp;WINDOW=FIRST_POPUP&amp;HEIGHT=450&amp;WIDTH=","450&amp;START_MAXIMIZED=FALSE&amp;VAR:CALENDAR=US&amp;VAR:SYMBOL=14912310&amp;VAR:INDEX=1"}</definedName>
    <definedName name="_272__FDSAUDITLINK__">{"fdsup://Directions/FactSet Auditing Viewer?action=AUDIT_VALUE&amp;DB=129&amp;ID1=14912310&amp;VALUEID=02401&amp;SDATE=2009&amp;PERIODTYPE=ANN_STD&amp;SCFT=3&amp;window=popup_no_bar&amp;width=385&amp;height=120&amp;START_MAXIMIZED=FALSE&amp;creator=factset&amp;display_string=Audit"}</definedName>
    <definedName name="_273__FDSAUDITLINK__">{"fdsup://directions/FAT Viewer?action=UPDATE&amp;creator=factset&amp;DYN_ARGS=TRUE&amp;DOC_NAME=FAT:FQL_AUDITING_CLIENT_TEMPLATE.FAT&amp;display_string=Audit&amp;VAR:KEY=ARKNILETUF&amp;VAR:QUERY=RkZfR1dfV0RPV04oQU5OLC05LDAsWSxSUCxMT0NBTCxNKQ==&amp;WINDOW=FIRST_POPUP&amp;HEIGHT=450&amp;WIDTH=","450&amp;START_MAXIMIZED=FALSE&amp;VAR:CALENDAR=US&amp;VAR:SYMBOL=14912310&amp;VAR:INDEX=7"}</definedName>
    <definedName name="_274__FDSAUDITLINK__">{"fdsup://Directions/FactSet Auditing Viewer?action=AUDIT_VALUE&amp;DB=129&amp;ID1=14912310&amp;VALUEID=02401&amp;SDATE=2007&amp;PERIODTYPE=ANN_STD&amp;SCFT=3&amp;window=popup_no_bar&amp;width=385&amp;height=120&amp;START_MAXIMIZED=FALSE&amp;creator=factset&amp;display_string=Audit"}</definedName>
    <definedName name="_275__FDSAUDITLINK__">{"fdsup://Directions/FactSet Auditing Viewer?action=AUDIT_VALUE&amp;DB=129&amp;ID1=14912310&amp;VALUEID=02401&amp;SDATE=2006&amp;PERIODTYPE=ANN_STD&amp;SCFT=3&amp;window=popup_no_bar&amp;width=385&amp;height=120&amp;START_MAXIMIZED=FALSE&amp;creator=factset&amp;display_string=Audit"}</definedName>
    <definedName name="_276__FDSAUDITLINK__">{"fdsup://Directions/FactSet Auditing Viewer?action=AUDIT_VALUE&amp;DB=129&amp;ID1=14912310&amp;VALUEID=02401&amp;SDATE=2004&amp;PERIODTYPE=ANN_STD&amp;SCFT=3&amp;window=popup_no_bar&amp;width=385&amp;height=120&amp;START_MAXIMIZED=FALSE&amp;creator=factset&amp;display_string=Audit"}</definedName>
    <definedName name="_277__FDSAUDITLINK__">{"fdsup://directions/FAT Viewer?action=UPDATE&amp;creator=factset&amp;DYN_ARGS=TRUE&amp;DOC_NAME=FAT:FQL_AUDITING_CLIENT_TEMPLATE.FAT&amp;display_string=Audit&amp;VAR:KEY=ARKNILETUF&amp;VAR:QUERY=RkZfR1dfV0RPV04oQU5OLC05LDAsWSxSUCxMT0NBTCxNKQ==&amp;WINDOW=FIRST_POPUP&amp;HEIGHT=450&amp;WIDTH=","450&amp;START_MAXIMIZED=FALSE&amp;VAR:CALENDAR=US&amp;VAR:SYMBOL=14912310&amp;VAR:INDEX=3"}</definedName>
    <definedName name="_278__FDSAUDITLINK__">{"fdsup://Directions/FactSet Auditing Viewer?action=AUDIT_VALUE&amp;DB=129&amp;ID1=14912310&amp;VALUEID=18378&amp;SDATE=2009&amp;PERIODTYPE=ANN_STD&amp;SCFT=3&amp;window=popup_no_bar&amp;width=385&amp;height=120&amp;START_MAXIMIZED=FALSE&amp;creator=factset&amp;display_string=Audit"}</definedName>
    <definedName name="_279__FDSAUDITLINK__">{"fdsup://directions/FAT Viewer?action=UPDATE&amp;creator=factset&amp;DYN_ARGS=TRUE&amp;DOC_NAME=FAT:FQL_AUDITING_CLIENT_TEMPLATE.FAT&amp;display_string=Audit&amp;VAR:KEY=ARKNILETUF&amp;VAR:QUERY=RkZfR1dfV0RPV04oQU5OLC05LDAsWSxSUCxMT0NBTCxNKQ==&amp;WINDOW=FIRST_POPUP&amp;HEIGHT=450&amp;WIDTH=","450&amp;START_MAXIMIZED=FALSE&amp;VAR:CALENDAR=US&amp;VAR:SYMBOL=14912310&amp;VAR:INDEX=1"}</definedName>
    <definedName name="_28__FDSAUDITLINK__">{"fdsup://directions/FAT Viewer?action=UPDATE&amp;creator=factset&amp;DYN_ARGS=TRUE&amp;DOC_NAME=FAT:FQL_AUDITING_CLIENT_TEMPLATE.FAT&amp;display_string=Audit&amp;VAR:KEY=SLYVIVOXCL&amp;VAR:QUERY=RkZfUkVDRUlWX1RVUk5fREFZUyhBTk4sLTksMCxZLFJQKQ==&amp;WINDOW=FIRST_POPUP&amp;HEIGHT=450&amp;WIDTH=","450&amp;START_MAXIMIZED=FALSE&amp;VAR:CALENDAR=US&amp;VAR:SYMBOL=14912310&amp;VAR:INDEX=9"}</definedName>
    <definedName name="_280__FDSAUDITLINK__">{"fdsup://Directions/FactSet Auditing Viewer?action=AUDIT_VALUE&amp;DB=129&amp;ID1=14912310&amp;VALUEID=18378&amp;SDATE=2007&amp;PERIODTYPE=ANN_STD&amp;SCFT=3&amp;window=popup_no_bar&amp;width=385&amp;height=120&amp;START_MAXIMIZED=FALSE&amp;creator=factset&amp;display_string=Audit"}</definedName>
    <definedName name="_281__FDSAUDITLINK__">{"fdsup://Directions/FactSet Auditing Viewer?action=AUDIT_VALUE&amp;DB=129&amp;ID1=14912310&amp;VALUEID=18378&amp;SDATE=2006&amp;PERIODTYPE=ANN_STD&amp;SCFT=3&amp;window=popup_no_bar&amp;width=385&amp;height=120&amp;START_MAXIMIZED=FALSE&amp;creator=factset&amp;display_string=Audit"}</definedName>
    <definedName name="_282__FDSAUDITLINK__">{"fdsup://Directions/FactSet Auditing Viewer?action=AUDIT_VALUE&amp;DB=129&amp;ID1=14912310&amp;VALUEID=18378&amp;SDATE=2004&amp;PERIODTYPE=ANN_STD&amp;SCFT=3&amp;window=popup_no_bar&amp;width=385&amp;height=120&amp;START_MAXIMIZED=FALSE&amp;creator=factset&amp;display_string=Audit"}</definedName>
    <definedName name="_283__FDSAUDITLINK__">{"fdsup://directions/FAT Viewer?action=UPDATE&amp;creator=factset&amp;DYN_ARGS=TRUE&amp;DOC_NAME=FAT:FQL_AUDITING_CLIENT_TEMPLATE.FAT&amp;display_string=Audit&amp;VAR:KEY=NADQXIPQHU&amp;VAR:QUERY=RkZfUkVPUkdfUkVTVFJVQ1RfRVhQKEFOTiwtOSwwLFksUlAsTE9DQUwsTSk=&amp;WINDOW=FIRST_POPUP&amp;HEIGH","T=450&amp;WIDTH=450&amp;START_MAXIMIZED=FALSE&amp;VAR:CALENDAR=US&amp;VAR:SYMBOL=14912310&amp;VAR:INDEX=6"}</definedName>
    <definedName name="_284__FDSAUDITLINK__">{"fdsup://Directions/FactSet Auditing Viewer?action=AUDIT_VALUE&amp;DB=129&amp;ID1=14912310&amp;VALUEID=18381&amp;SDATE=2009&amp;PERIODTYPE=ANN_STD&amp;SCFT=3&amp;window=popup_no_bar&amp;width=385&amp;height=120&amp;START_MAXIMIZED=FALSE&amp;creator=factset&amp;display_string=Audit"}</definedName>
    <definedName name="_285__FDSAUDITLINK__">{"fdsup://directions/FAT Viewer?action=UPDATE&amp;creator=factset&amp;DYN_ARGS=TRUE&amp;DOC_NAME=FAT:FQL_AUDITING_CLIENT_TEMPLATE.FAT&amp;display_string=Audit&amp;VAR:KEY=NADQXIPQHU&amp;VAR:QUERY=RkZfUkVPUkdfUkVTVFJVQ1RfRVhQKEFOTiwtOSwwLFksUlAsTE9DQUwsTSk=&amp;WINDOW=FIRST_POPUP&amp;HEIGH","T=450&amp;WIDTH=450&amp;START_MAXIMIZED=FALSE&amp;VAR:CALENDAR=US&amp;VAR:SYMBOL=14912310&amp;VAR:INDEX=4"}</definedName>
    <definedName name="_286__FDSAUDITLINK__">{"fdsup://Directions/FactSet Auditing Viewer?action=AUDIT_VALUE&amp;DB=129&amp;ID1=14912310&amp;VALUEID=18381&amp;SDATE=2007&amp;PERIODTYPE=ANN_STD&amp;SCFT=3&amp;window=popup_no_bar&amp;width=385&amp;height=120&amp;START_MAXIMIZED=FALSE&amp;creator=factset&amp;display_string=Audit"}</definedName>
    <definedName name="_287__FDSAUDITLINK__">{"fdsup://Directions/FactSet Auditing Viewer?action=AUDIT_VALUE&amp;DB=129&amp;ID1=14912310&amp;VALUEID=18381&amp;SDATE=2006&amp;PERIODTYPE=ANN_STD&amp;SCFT=3&amp;window=popup_no_bar&amp;width=385&amp;height=120&amp;START_MAXIMIZED=FALSE&amp;creator=factset&amp;display_string=Audit"}</definedName>
    <definedName name="_288__FDSAUDITLINK__">{"fdsup://Directions/FactSet Auditing Viewer?action=AUDIT_VALUE&amp;DB=129&amp;ID1=14912310&amp;VALUEID=18381&amp;SDATE=2004&amp;PERIODTYPE=ANN_STD&amp;SCFT=3&amp;window=popup_no_bar&amp;width=385&amp;height=120&amp;START_MAXIMIZED=FALSE&amp;creator=factset&amp;display_string=Audit"}</definedName>
    <definedName name="_289__FDSAUDITLINK__">{"fdsup://directions/FAT Viewer?action=UPDATE&amp;creator=factset&amp;DYN_ARGS=TRUE&amp;DOC_NAME=FAT:FQL_AUDITING_CLIENT_TEMPLATE.FAT&amp;display_string=Audit&amp;VAR:KEY=YPIHGJORSV&amp;VAR:QUERY=RkZfWENFUFRfUFJPVihBTk4sLTksMCxZLFJQLExPQ0FMLE0p&amp;WINDOW=FIRST_POPUP&amp;HEIGHT=450&amp;WIDTH=","450&amp;START_MAXIMIZED=FALSE&amp;VAR:CALENDAR=US&amp;VAR:SYMBOL=14912310&amp;VAR:INDEX=9"}</definedName>
    <definedName name="_29__FDSAUDITLINK__">{"fdsup://directions/FAT Viewer?action=UPDATE&amp;creator=factset&amp;DYN_ARGS=TRUE&amp;DOC_NAME=FAT:FQL_AUDITING_CLIENT_TEMPLATE.FAT&amp;display_string=Audit&amp;VAR:KEY=SLYVIVOXCL&amp;VAR:QUERY=RkZfUkVDRUlWX1RVUk5fREFZUyhBTk4sLTksMCxZLFJQKQ==&amp;WINDOW=FIRST_POPUP&amp;HEIGHT=450&amp;WIDTH=","450&amp;START_MAXIMIZED=FALSE&amp;VAR:CALENDAR=US&amp;VAR:SYMBOL=14912310&amp;VAR:INDEX=8"}</definedName>
    <definedName name="_290__FDSAUDITLINK__">{"fdsup://Directions/FactSet Auditing Viewer?action=AUDIT_VALUE&amp;DB=129&amp;ID1=14912310&amp;VALUEID=18390&amp;SDATE=2009&amp;PERIODTYPE=ANN_STD&amp;SCFT=3&amp;window=popup_no_bar&amp;width=385&amp;height=120&amp;START_MAXIMIZED=FALSE&amp;creator=factset&amp;display_string=Audit"}</definedName>
    <definedName name="_291__FDSAUDITLINK__">{"fdsup://directions/FAT Viewer?action=UPDATE&amp;creator=factset&amp;DYN_ARGS=TRUE&amp;DOC_NAME=FAT:FQL_AUDITING_CLIENT_TEMPLATE.FAT&amp;display_string=Audit&amp;VAR:KEY=YPIHGJORSV&amp;VAR:QUERY=RkZfWENFUFRfUFJPVihBTk4sLTksMCxZLFJQLExPQ0FMLE0p&amp;WINDOW=FIRST_POPUP&amp;HEIGHT=450&amp;WIDTH=","450&amp;START_MAXIMIZED=FALSE&amp;VAR:CALENDAR=US&amp;VAR:SYMBOL=14912310&amp;VAR:INDEX=7"}</definedName>
    <definedName name="_292__FDSAUDITLINK__">{"fdsup://Directions/FactSet Auditing Viewer?action=AUDIT_VALUE&amp;DB=129&amp;ID1=14912310&amp;VALUEID=18390&amp;SDATE=2007&amp;PERIODTYPE=ANN_STD&amp;SCFT=3&amp;window=popup_no_bar&amp;width=385&amp;height=120&amp;START_MAXIMIZED=FALSE&amp;creator=factset&amp;display_string=Audit"}</definedName>
    <definedName name="_293__FDSAUDITLINK__">{"fdsup://Directions/FactSet Auditing Viewer?action=AUDIT_VALUE&amp;DB=129&amp;ID1=14912310&amp;VALUEID=18390&amp;SDATE=2006&amp;PERIODTYPE=ANN_STD&amp;SCFT=3&amp;window=popup_no_bar&amp;width=385&amp;height=120&amp;START_MAXIMIZED=FALSE&amp;creator=factset&amp;display_string=Audit"}</definedName>
    <definedName name="_294__FDSAUDITLINK__">{"fdsup://Directions/FactSet Auditing Viewer?action=AUDIT_VALUE&amp;DB=129&amp;ID1=14912310&amp;VALUEID=18390&amp;SDATE=2004&amp;PERIODTYPE=ANN_STD&amp;SCFT=3&amp;window=popup_no_bar&amp;width=385&amp;height=120&amp;START_MAXIMIZED=FALSE&amp;creator=factset&amp;display_string=Audit"}</definedName>
    <definedName name="_295__FDSAUDITLINK__">{"fdsup://directions/FAT Viewer?action=UPDATE&amp;creator=factset&amp;DYN_ARGS=TRUE&amp;DOC_NAME=FAT:FQL_AUDITING_CLIENT_TEMPLATE.FAT&amp;display_string=Audit&amp;VAR:KEY=YPIHGJORSV&amp;VAR:QUERY=RkZfWENFUFRfUFJPVihBTk4sLTksMCxZLFJQLExPQ0FMLE0p&amp;WINDOW=FIRST_POPUP&amp;HEIGHT=450&amp;WIDTH=","450&amp;START_MAXIMIZED=FALSE&amp;VAR:CALENDAR=US&amp;VAR:SYMBOL=14912310&amp;VAR:INDEX=3"}</definedName>
    <definedName name="_296__FDSAUDITLINK__">{"fdsup://Directions/FactSet Auditing Viewer?action=AUDIT_VALUE&amp;DB=129&amp;ID1=14912310&amp;VALUEID=18377&amp;SDATE=2009&amp;PERIODTYPE=ANN_STD&amp;SCFT=3&amp;window=popup_no_bar&amp;width=385&amp;height=120&amp;START_MAXIMIZED=FALSE&amp;creator=factset&amp;display_string=Audit"}</definedName>
    <definedName name="_297__FDSAUDITLINK__">{"fdsup://directions/FAT Viewer?action=UPDATE&amp;creator=factset&amp;DYN_ARGS=TRUE&amp;DOC_NAME=FAT:FQL_AUDITING_CLIENT_TEMPLATE.FAT&amp;display_string=Audit&amp;VAR:KEY=YPIHGJORSV&amp;VAR:QUERY=RkZfWENFUFRfUFJPVihBTk4sLTksMCxZLFJQLExPQ0FMLE0p&amp;WINDOW=FIRST_POPUP&amp;HEIGHT=450&amp;WIDTH=","450&amp;START_MAXIMIZED=FALSE&amp;VAR:CALENDAR=US&amp;VAR:SYMBOL=14912310&amp;VAR:INDEX=1"}</definedName>
    <definedName name="_298__FDSAUDITLINK__">{"fdsup://Directions/FactSet Auditing Viewer?action=AUDIT_VALUE&amp;DB=129&amp;ID1=14912310&amp;VALUEID=18377&amp;SDATE=2007&amp;PERIODTYPE=ANN_STD&amp;SCFT=3&amp;window=popup_no_bar&amp;width=385&amp;height=120&amp;START_MAXIMIZED=FALSE&amp;creator=factset&amp;display_string=Audit"}</definedName>
    <definedName name="_299__FDSAUDITLINK__">{"fdsup://Directions/FactSet Auditing Viewer?action=AUDIT_VALUE&amp;DB=129&amp;ID1=14912310&amp;VALUEID=18377&amp;SDATE=2006&amp;PERIODTYPE=ANN_STD&amp;SCFT=3&amp;window=popup_no_bar&amp;width=385&amp;height=120&amp;START_MAXIMIZED=FALSE&amp;creator=factset&amp;display_string=Audit"}</definedName>
    <definedName localSheetId="0" name="_3__123Graph_ACHART_4">'[17]Historical IS'!#REF!</definedName>
    <definedName name="_3__123Graph_ACHART_4">'[17]Historical IS'!#REF!</definedName>
    <definedName localSheetId="0" name="_3__123Graph_ACRECIM">'[1]Base diaria'!#REF!</definedName>
    <definedName name="_3__123Graph_ACRECIM">'[1]Base diaria'!#REF!</definedName>
    <definedName localSheetId="0" name="_3__123Graph_BCRECIM">'[1]Base diaria'!#REF!</definedName>
    <definedName name="_3__123Graph_BCRECIM">'[1]Base diaria'!#REF!</definedName>
    <definedName name="_3__123Graph_CChart_1A">[15]A!$C$99:$Q$99</definedName>
    <definedName name="_3__FDSAUDITLINK__">{"fdsup://directions/FAT Viewer?action=UPDATE&amp;creator=factset&amp;DYN_ARGS=TRUE&amp;DOC_NAME=FAT:FQL_AUDITING_CLIENT_TEMPLATE.FAT&amp;display_string=Audit&amp;VAR:KEY=YVQJGZGTCP&amp;VAR:QUERY=RkZfQlBTX1RBTkcoQU5OLC05LDAsWSxSUCxMT0NBTCxNKQ==&amp;WINDOW=FIRST_POPUP&amp;HEIGHT=450&amp;WIDTH=","450&amp;START_MAXIMIZED=FALSE&amp;VAR:CALENDAR=US&amp;VAR:SYMBOL=14912310&amp;VAR:INDEX=7"}</definedName>
    <definedName name="_30__FDSAUDITLINK__">{"fdsup://directions/FAT Viewer?action=UPDATE&amp;creator=factset&amp;DYN_ARGS=TRUE&amp;DOC_NAME=FAT:FQL_AUDITING_CLIENT_TEMPLATE.FAT&amp;display_string=Audit&amp;VAR:KEY=SLYVIVOXCL&amp;VAR:QUERY=RkZfUkVDRUlWX1RVUk5fREFZUyhBTk4sLTksMCxZLFJQKQ==&amp;WINDOW=FIRST_POPUP&amp;HEIGHT=450&amp;WIDTH=","450&amp;START_MAXIMIZED=FALSE&amp;VAR:CALENDAR=US&amp;VAR:SYMBOL=14912310&amp;VAR:INDEX=7"}</definedName>
    <definedName name="_300__FDSAUDITLINK__">{"fdsup://Directions/FactSet Auditing Viewer?action=AUDIT_VALUE&amp;DB=129&amp;ID1=14912310&amp;VALUEID=18377&amp;SDATE=2004&amp;PERIODTYPE=ANN_STD&amp;SCFT=3&amp;window=popup_no_bar&amp;width=385&amp;height=120&amp;START_MAXIMIZED=FALSE&amp;creator=factset&amp;display_string=Audit"}</definedName>
    <definedName name="_301__FDSAUDITLINK__">{"fdsup://directions/FAT Viewer?action=UPDATE&amp;creator=factset&amp;DYN_ARGS=TRUE&amp;DOC_NAME=FAT:FQL_AUDITING_CLIENT_TEMPLATE.FAT&amp;display_string=Audit&amp;VAR:KEY=FAFKLSFCBA&amp;VAR:QUERY=RkZfRklOX0FTU0VUU19JTVBBSVIoQU5OLC05LDAsWSxSUCxMT0NBTCxNKQ==&amp;WINDOW=FIRST_POPUP&amp;HEIGH","T=450&amp;WIDTH=450&amp;START_MAXIMIZED=FALSE&amp;VAR:CALENDAR=US&amp;VAR:SYMBOL=14912310&amp;VAR:INDEX=6"}</definedName>
    <definedName name="_302__FDSAUDITLINK__">{"fdsup://Directions/FactSet Auditing Viewer?action=AUDIT_VALUE&amp;DB=129&amp;ID1=14912310&amp;VALUEID=18375&amp;SDATE=2009&amp;PERIODTYPE=ANN_STD&amp;SCFT=3&amp;window=popup_no_bar&amp;width=385&amp;height=120&amp;START_MAXIMIZED=FALSE&amp;creator=factset&amp;display_string=Audit"}</definedName>
    <definedName name="_303__FDSAUDITLINK__">{"fdsup://directions/FAT Viewer?action=UPDATE&amp;creator=factset&amp;DYN_ARGS=TRUE&amp;DOC_NAME=FAT:FQL_AUDITING_CLIENT_TEMPLATE.FAT&amp;display_string=Audit&amp;VAR:KEY=FAFKLSFCBA&amp;VAR:QUERY=RkZfRklOX0FTU0VUU19JTVBBSVIoQU5OLC05LDAsWSxSUCxMT0NBTCxNKQ==&amp;WINDOW=FIRST_POPUP&amp;HEIGH","T=450&amp;WIDTH=450&amp;START_MAXIMIZED=FALSE&amp;VAR:CALENDAR=US&amp;VAR:SYMBOL=14912310&amp;VAR:INDEX=4"}</definedName>
    <definedName name="_304__FDSAUDITLINK__">{"fdsup://Directions/FactSet Auditing Viewer?action=AUDIT_VALUE&amp;DB=129&amp;ID1=14912310&amp;VALUEID=18375&amp;SDATE=2007&amp;PERIODTYPE=ANN_STD&amp;SCFT=3&amp;window=popup_no_bar&amp;width=385&amp;height=120&amp;START_MAXIMIZED=FALSE&amp;creator=factset&amp;display_string=Audit"}</definedName>
    <definedName name="_305__FDSAUDITLINK__">{"fdsup://Directions/FactSet Auditing Viewer?action=AUDIT_VALUE&amp;DB=129&amp;ID1=14912310&amp;VALUEID=18375&amp;SDATE=2006&amp;PERIODTYPE=ANN_STD&amp;SCFT=3&amp;window=popup_no_bar&amp;width=385&amp;height=120&amp;START_MAXIMIZED=FALSE&amp;creator=factset&amp;display_string=Audit"}</definedName>
    <definedName name="_306__FDSAUDITLINK__">{"fdsup://Directions/FactSet Auditing Viewer?action=AUDIT_VALUE&amp;DB=129&amp;ID1=14912310&amp;VALUEID=18375&amp;SDATE=2004&amp;PERIODTYPE=ANN_STD&amp;SCFT=3&amp;window=popup_no_bar&amp;width=385&amp;height=120&amp;START_MAXIMIZED=FALSE&amp;creator=factset&amp;display_string=Audit"}</definedName>
    <definedName name="_307__FDSAUDITLINK__">{"fdsup://directions/FAT Viewer?action=UPDATE&amp;creator=factset&amp;DYN_ARGS=TRUE&amp;DOC_NAME=FAT:FQL_AUDITING_CLIENT_TEMPLATE.FAT&amp;display_string=Audit&amp;VAR:KEY=KRULSXWFIJ&amp;VAR:QUERY=RkZfSU1QQUlSX1BQRShBTk4sLTksMCxZLFJQLExPQ0FMLE0p&amp;WINDOW=FIRST_POPUP&amp;HEIGHT=450&amp;WIDTH=","450&amp;START_MAXIMIZED=FALSE&amp;VAR:CALENDAR=US&amp;VAR:SYMBOL=14912310&amp;VAR:INDEX=9"}</definedName>
    <definedName name="_308__FDSAUDITLINK__">{"fdsup://Directions/FactSet Auditing Viewer?action=AUDIT_VALUE&amp;DB=129&amp;ID1=14912310&amp;VALUEID=18376&amp;SDATE=2009&amp;PERIODTYPE=ANN_STD&amp;SCFT=3&amp;window=popup_no_bar&amp;width=385&amp;height=120&amp;START_MAXIMIZED=FALSE&amp;creator=factset&amp;display_string=Audit"}</definedName>
    <definedName name="_309__FDSAUDITLINK__">{"fdsup://directions/FAT Viewer?action=UPDATE&amp;creator=factset&amp;DYN_ARGS=TRUE&amp;DOC_NAME=FAT:FQL_AUDITING_CLIENT_TEMPLATE.FAT&amp;display_string=Audit&amp;VAR:KEY=KRULSXWFIJ&amp;VAR:QUERY=RkZfSU1QQUlSX1BQRShBTk4sLTksMCxZLFJQLExPQ0FMLE0p&amp;WINDOW=FIRST_POPUP&amp;HEIGHT=450&amp;WIDTH=","450&amp;START_MAXIMIZED=FALSE&amp;VAR:CALENDAR=US&amp;VAR:SYMBOL=14912310&amp;VAR:INDEX=7"}</definedName>
    <definedName name="_31__FDSAUDITLINK__">{"fdsup://directions/FAT Viewer?action=UPDATE&amp;creator=factset&amp;DYN_ARGS=TRUE&amp;DOC_NAME=FAT:FQL_AUDITING_CLIENT_TEMPLATE.FAT&amp;display_string=Audit&amp;VAR:KEY=SLYVIVOXCL&amp;VAR:QUERY=RkZfUkVDRUlWX1RVUk5fREFZUyhBTk4sLTksMCxZLFJQKQ==&amp;WINDOW=FIRST_POPUP&amp;HEIGHT=450&amp;WIDTH=","450&amp;START_MAXIMIZED=FALSE&amp;VAR:CALENDAR=US&amp;VAR:SYMBOL=14912310&amp;VAR:INDEX=6"}</definedName>
    <definedName name="_310__FDSAUDITLINK__">{"fdsup://Directions/FactSet Auditing Viewer?action=AUDIT_VALUE&amp;DB=129&amp;ID1=14912310&amp;VALUEID=18376&amp;SDATE=2007&amp;PERIODTYPE=ANN_STD&amp;SCFT=3&amp;window=popup_no_bar&amp;width=385&amp;height=120&amp;START_MAXIMIZED=FALSE&amp;creator=factset&amp;display_string=Audit"}</definedName>
    <definedName name="_311__FDSAUDITLINK__">{"fdsup://Directions/FactSet Auditing Viewer?action=AUDIT_VALUE&amp;DB=129&amp;ID1=14912310&amp;VALUEID=18376&amp;SDATE=2006&amp;PERIODTYPE=ANN_STD&amp;SCFT=3&amp;window=popup_no_bar&amp;width=385&amp;height=120&amp;START_MAXIMIZED=FALSE&amp;creator=factset&amp;display_string=Audit"}</definedName>
    <definedName name="_312__FDSAUDITLINK__">{"fdsup://Directions/FactSet Auditing Viewer?action=AUDIT_VALUE&amp;DB=129&amp;ID1=14912310&amp;VALUEID=18376&amp;SDATE=2004&amp;PERIODTYPE=ANN_STD&amp;SCFT=3&amp;window=popup_no_bar&amp;width=385&amp;height=120&amp;START_MAXIMIZED=FALSE&amp;creator=factset&amp;display_string=Audit"}</definedName>
    <definedName name="_313__FDSAUDITLINK__">{"fdsup://directions/FAT Viewer?action=UPDATE&amp;creator=factset&amp;DYN_ARGS=TRUE&amp;DOC_NAME=FAT:FQL_AUDITING_CLIENT_TEMPLATE.FAT&amp;display_string=Audit&amp;VAR:KEY=KRULSXWFIJ&amp;VAR:QUERY=RkZfSU1QQUlSX1BQRShBTk4sLTksMCxZLFJQLExPQ0FMLE0p&amp;WINDOW=FIRST_POPUP&amp;HEIGHT=450&amp;WIDTH=","450&amp;START_MAXIMIZED=FALSE&amp;VAR:CALENDAR=US&amp;VAR:SYMBOL=14912310&amp;VAR:INDEX=3"}</definedName>
    <definedName name="_314__FDSAUDITLINK__">{"fdsup://Directions/FactSet Auditing Viewer?action=AUDIT_VALUE&amp;DB=129&amp;ID1=14912310&amp;VALUEID=02301&amp;SDATE=2009&amp;PERIODTYPE=ANN_STD&amp;SCFT=3&amp;window=popup_no_bar&amp;width=385&amp;height=120&amp;START_MAXIMIZED=FALSE&amp;creator=factset&amp;display_string=Audit"}</definedName>
    <definedName name="_315__FDSAUDITLINK__">{"fdsup://directions/FAT Viewer?action=UPDATE&amp;creator=factset&amp;DYN_ARGS=TRUE&amp;DOC_NAME=FAT:FQL_AUDITING_CLIENT_TEMPLATE.FAT&amp;display_string=Audit&amp;VAR:KEY=KRULSXWFIJ&amp;VAR:QUERY=RkZfSU1QQUlSX1BQRShBTk4sLTksMCxZLFJQLExPQ0FMLE0p&amp;WINDOW=FIRST_POPUP&amp;HEIGHT=450&amp;WIDTH=","450&amp;START_MAXIMIZED=FALSE&amp;VAR:CALENDAR=US&amp;VAR:SYMBOL=14912310&amp;VAR:INDEX=1"}</definedName>
    <definedName name="_316__FDSAUDITLINK__">{"fdsup://Directions/FactSet Auditing Viewer?action=AUDIT_VALUE&amp;DB=129&amp;ID1=14912310&amp;VALUEID=02301&amp;SDATE=2007&amp;PERIODTYPE=ANN_STD&amp;SCFT=3&amp;window=popup_no_bar&amp;width=385&amp;height=120&amp;START_MAXIMIZED=FALSE&amp;creator=factset&amp;display_string=Audit"}</definedName>
    <definedName name="_317__FDSAUDITLINK__">{"fdsup://Directions/FactSet Auditing Viewer?action=AUDIT_VALUE&amp;DB=129&amp;ID1=14912310&amp;VALUEID=02301&amp;SDATE=2006&amp;PERIODTYPE=ANN_STD&amp;SCFT=3&amp;window=popup_no_bar&amp;width=385&amp;height=120&amp;START_MAXIMIZED=FALSE&amp;creator=factset&amp;display_string=Audit"}</definedName>
    <definedName name="_318__FDSAUDITLINK__">{"fdsup://Directions/FactSet Auditing Viewer?action=AUDIT_VALUE&amp;DB=129&amp;ID1=14912310&amp;VALUEID=02301&amp;SDATE=2004&amp;PERIODTYPE=ANN_STD&amp;SCFT=3&amp;window=popup_no_bar&amp;width=385&amp;height=120&amp;START_MAXIMIZED=FALSE&amp;creator=factset&amp;display_string=Audit"}</definedName>
    <definedName name="_319__FDSAUDITLINK__">{"fdsup://directions/FAT Viewer?action=UPDATE&amp;creator=factset&amp;DYN_ARGS=TRUE&amp;DOC_NAME=FAT:FQL_AUDITING_CLIENT_TEMPLATE.FAT&amp;display_string=Audit&amp;VAR:KEY=BCHOFUPAHM&amp;VAR:QUERY=UENUQ0hHKEZGX0lOVF9FWFBfTkVUKEFOTiwtOSwwLFksUlAsTE9DQUwsTSksRkZfSU5UX0VYUF9ORVQoQU5OL","C0xLC05IC0gMSxZLFJQLExPQ0FMLE0pKQ==&amp;WINDOW=FIRST_POPUP&amp;HEIGHT=450&amp;WIDTH=450&amp;START_MAXIMIZED=FALSE&amp;VAR:CALENDAR=US&amp;VAR:SYMBOL=14912310&amp;VAR:INDEX=6"}</definedName>
    <definedName name="_32__FDSAUDITLINK__">{"fdsup://directions/FAT Viewer?action=UPDATE&amp;creator=factset&amp;DYN_ARGS=TRUE&amp;DOC_NAME=FAT:FQL_AUDITING_CLIENT_TEMPLATE.FAT&amp;display_string=Audit&amp;VAR:KEY=SLYVIVOXCL&amp;VAR:QUERY=RkZfUkVDRUlWX1RVUk5fREFZUyhBTk4sLTksMCxZLFJQKQ==&amp;WINDOW=FIRST_POPUP&amp;HEIGHT=450&amp;WIDTH=","450&amp;START_MAXIMIZED=FALSE&amp;VAR:CALENDAR=US&amp;VAR:SYMBOL=14912310&amp;VAR:INDEX=5"}</definedName>
    <definedName name="_320__FDSAUDITLINK__">{"fdsup://Directions/FactSet Auditing Viewer?action=AUDIT_VALUE&amp;DB=129&amp;ID1=14912310&amp;VALUEID=02501&amp;SDATE=2009&amp;PERIODTYPE=ANN_STD&amp;SCFT=3&amp;window=popup_no_bar&amp;width=385&amp;height=120&amp;START_MAXIMIZED=FALSE&amp;creator=factset&amp;display_string=Audit"}</definedName>
    <definedName name="_321__FDSAUDITLINK__">{"fdsup://directions/FAT Viewer?action=UPDATE&amp;creator=factset&amp;DYN_ARGS=TRUE&amp;DOC_NAME=FAT:FQL_AUDITING_CLIENT_TEMPLATE.FAT&amp;display_string=Audit&amp;VAR:KEY=BCHOFUPAHM&amp;VAR:QUERY=UENUQ0hHKEZGX0lOVF9FWFBfTkVUKEFOTiwtOSwwLFksUlAsTE9DQUwsTSksRkZfSU5UX0VYUF9ORVQoQU5OL","C0xLC05IC0gMSxZLFJQLExPQ0FMLE0pKQ==&amp;WINDOW=FIRST_POPUP&amp;HEIGHT=450&amp;WIDTH=450&amp;START_MAXIMIZED=FALSE&amp;VAR:CALENDAR=US&amp;VAR:SYMBOL=14912310&amp;VAR:INDEX=4"}</definedName>
    <definedName name="_322__FDSAUDITLINK__">{"fdsup://Directions/FactSet Auditing Viewer?action=AUDIT_VALUE&amp;DB=129&amp;ID1=14912310&amp;VALUEID=02501&amp;SDATE=2007&amp;PERIODTYPE=ANN_STD&amp;SCFT=3&amp;window=popup_no_bar&amp;width=385&amp;height=120&amp;START_MAXIMIZED=FALSE&amp;creator=factset&amp;display_string=Audit"}</definedName>
    <definedName name="_323__FDSAUDITLINK__">{"fdsup://Directions/FactSet Auditing Viewer?action=AUDIT_VALUE&amp;DB=129&amp;ID1=14912310&amp;VALUEID=02501&amp;SDATE=2006&amp;PERIODTYPE=ANN_STD&amp;SCFT=3&amp;window=popup_no_bar&amp;width=385&amp;height=120&amp;START_MAXIMIZED=FALSE&amp;creator=factset&amp;display_string=Audit"}</definedName>
    <definedName name="_324__FDSAUDITLINK__">{"fdsup://Directions/FactSet Auditing Viewer?action=AUDIT_VALUE&amp;DB=129&amp;ID1=14912310&amp;VALUEID=02501&amp;SDATE=2004&amp;PERIODTYPE=ANN_STD&amp;SCFT=3&amp;window=popup_no_bar&amp;width=385&amp;height=120&amp;START_MAXIMIZED=FALSE&amp;creator=factset&amp;display_string=Audit"}</definedName>
    <definedName name="_325__FDSAUDITLINK__">{"fdsup://Directions/FactSet Auditing Viewer?action=AUDIT_VALUE&amp;DB=129&amp;ID1=14912310&amp;VALUEID=01255&amp;SDATE=2007&amp;PERIODTYPE=ANN_STD&amp;SCFT=3&amp;window=popup_no_bar&amp;width=385&amp;height=120&amp;START_MAXIMIZED=FALSE&amp;creator=factset&amp;display_string=Audit"}</definedName>
    <definedName name="_326__FDSAUDITLINK__">{"fdsup://Directions/FactSet Auditing Viewer?action=AUDIT_VALUE&amp;DB=129&amp;ID1=14912310&amp;VALUEID=02201&amp;SDATE=2009&amp;PERIODTYPE=ANN_STD&amp;SCFT=3&amp;window=popup_no_bar&amp;width=385&amp;height=120&amp;START_MAXIMIZED=FALSE&amp;creator=factset&amp;display_string=Audit"}</definedName>
    <definedName name="_327__FDSAUDITLINK__">{"fdsup://Directions/FactSet Auditing Viewer?action=AUDIT_VALUE&amp;DB=129&amp;ID1=14912310&amp;VALUEID=01255&amp;SDATE=2010&amp;PERIODTYPE=ANN_STD&amp;SCFT=3&amp;window=popup_no_bar&amp;width=385&amp;height=120&amp;START_MAXIMIZED=FALSE&amp;creator=factset&amp;display_string=Audit"}</definedName>
    <definedName name="_328__FDSAUDITLINK__">{"fdsup://Directions/FactSet Auditing Viewer?action=AUDIT_VALUE&amp;DB=129&amp;ID1=14912310&amp;VALUEID=02201&amp;SDATE=2007&amp;PERIODTYPE=ANN_STD&amp;SCFT=3&amp;window=popup_no_bar&amp;width=385&amp;height=120&amp;START_MAXIMIZED=FALSE&amp;creator=factset&amp;display_string=Audit"}</definedName>
    <definedName name="_329__FDSAUDITLINK__">{"fdsup://Directions/FactSet Auditing Viewer?action=AUDIT_VALUE&amp;DB=129&amp;ID1=14912310&amp;VALUEID=02201&amp;SDATE=2006&amp;PERIODTYPE=ANN_STD&amp;SCFT=3&amp;window=popup_no_bar&amp;width=385&amp;height=120&amp;START_MAXIMIZED=FALSE&amp;creator=factset&amp;display_string=Audit"}</definedName>
    <definedName name="_33__FDSAUDITLINK__">{"fdsup://directions/FAT Viewer?action=UPDATE&amp;creator=factset&amp;DYN_ARGS=TRUE&amp;DOC_NAME=FAT:FQL_AUDITING_CLIENT_TEMPLATE.FAT&amp;display_string=Audit&amp;VAR:KEY=SLYVIVOXCL&amp;VAR:QUERY=RkZfUkVDRUlWX1RVUk5fREFZUyhBTk4sLTksMCxZLFJQKQ==&amp;WINDOW=FIRST_POPUP&amp;HEIGHT=450&amp;WIDTH=","450&amp;START_MAXIMIZED=FALSE&amp;VAR:CALENDAR=US&amp;VAR:SYMBOL=14912310&amp;VAR:INDEX=4"}</definedName>
    <definedName name="_330__FDSAUDITLINK__">{"fdsup://Directions/FactSet Auditing Viewer?action=AUDIT_VALUE&amp;DB=129&amp;ID1=14912310&amp;VALUEID=02201&amp;SDATE=2004&amp;PERIODTYPE=ANN_STD&amp;SCFT=3&amp;window=popup_no_bar&amp;width=385&amp;height=120&amp;START_MAXIMIZED=FALSE&amp;creator=factset&amp;display_string=Audit"}</definedName>
    <definedName name="_331__FDSAUDITLINK__">{"fdsup://Directions/FactSet Auditing Viewer?action=AUDIT_VALUE&amp;DB=129&amp;ID1=14912310&amp;VALUEID=01251&amp;SDATE=2006&amp;PERIODTYPE=ANN_STD&amp;SCFT=3&amp;window=popup_no_bar&amp;width=385&amp;height=120&amp;START_MAXIMIZED=FALSE&amp;creator=factset&amp;display_string=Audit"}</definedName>
    <definedName name="_332__FDSAUDITLINK__">{"fdsup://Directions/FactSet Auditing Viewer?action=AUDIT_VALUE&amp;DB=129&amp;ID1=14912310&amp;VALUEID=01251&amp;SDATE=2004&amp;PERIODTYPE=ANN_STD&amp;SCFT=3&amp;window=popup_no_bar&amp;width=385&amp;height=120&amp;START_MAXIMIZED=FALSE&amp;creator=factset&amp;display_string=Audit"}</definedName>
    <definedName name="_333__FDSAUDITLINK__">{"fdsup://Directions/FactSet Auditing Viewer?action=AUDIT_VALUE&amp;DB=129&amp;ID1=14912310&amp;VALUEID=01251&amp;SDATE=2010&amp;PERIODTYPE=ANN_STD&amp;SCFT=3&amp;window=popup_no_bar&amp;width=385&amp;height=120&amp;START_MAXIMIZED=FALSE&amp;creator=factset&amp;display_string=Audit"}</definedName>
    <definedName name="_334__FDSAUDITLINK__">{"fdsup://directions/FAT Viewer?action=UPDATE&amp;creator=factset&amp;DYN_ARGS=TRUE&amp;DOC_NAME=FAT:FQL_AUDITING_CLIENT_TEMPLATE.FAT&amp;display_string=Audit&amp;VAR:KEY=SRSNSNKJQF&amp;VAR:QUERY=RkZfQVNTRVRTX0NVUlJfT1RIKEFOTiwtOSwwLFksUlAsTE9DQUwsTSk=&amp;WINDOW=FIRST_POPUP&amp;HEIGHT=45","0&amp;WIDTH=450&amp;START_MAXIMIZED=FALSE&amp;VAR:CALENDAR=US&amp;VAR:SYMBOL=14912310&amp;VAR:INDEX=9"}</definedName>
    <definedName name="_335__FDSAUDITLINK__">{"fdsup://directions/FAT Viewer?action=UPDATE&amp;creator=factset&amp;DYN_ARGS=TRUE&amp;DOC_NAME=FAT:FQL_AUDITING_CLIENT_TEMPLATE.FAT&amp;display_string=Audit&amp;VAR:KEY=SRSNSNKJQF&amp;VAR:QUERY=RkZfQVNTRVRTX0NVUlJfT1RIKEFOTiwtOSwwLFksUlAsTE9DQUwsTSk=&amp;WINDOW=FIRST_POPUP&amp;HEIGHT=45","0&amp;WIDTH=450&amp;START_MAXIMIZED=FALSE&amp;VAR:CALENDAR=US&amp;VAR:SYMBOL=14912310&amp;VAR:INDEX=8"}</definedName>
    <definedName name="_336__FDSAUDITLINK__">{"fdsup://directions/FAT Viewer?action=UPDATE&amp;creator=factset&amp;DYN_ARGS=TRUE&amp;DOC_NAME=FAT:FQL_AUDITING_CLIENT_TEMPLATE.FAT&amp;display_string=Audit&amp;VAR:KEY=SRSNSNKJQF&amp;VAR:QUERY=RkZfQVNTRVRTX0NVUlJfT1RIKEFOTiwtOSwwLFksUlAsTE9DQUwsTSk=&amp;WINDOW=FIRST_POPUP&amp;HEIGHT=45","0&amp;WIDTH=450&amp;START_MAXIMIZED=FALSE&amp;VAR:CALENDAR=US&amp;VAR:SYMBOL=14912310&amp;VAR:INDEX=7"}</definedName>
    <definedName name="_337__FDSAUDITLINK__">{"fdsup://directions/FAT Viewer?action=UPDATE&amp;creator=factset&amp;DYN_ARGS=TRUE&amp;DOC_NAME=FAT:FQL_AUDITING_CLIENT_TEMPLATE.FAT&amp;display_string=Audit&amp;VAR:KEY=SRSNSNKJQF&amp;VAR:QUERY=RkZfQVNTRVRTX0NVUlJfT1RIKEFOTiwtOSwwLFksUlAsTE9DQUwsTSk=&amp;WINDOW=FIRST_POPUP&amp;HEIGHT=45","0&amp;WIDTH=450&amp;START_MAXIMIZED=FALSE&amp;VAR:CALENDAR=US&amp;VAR:SYMBOL=14912310&amp;VAR:INDEX=6"}</definedName>
    <definedName name="_338__FDSAUDITLINK__">{"fdsup://directions/FAT Viewer?action=UPDATE&amp;creator=factset&amp;DYN_ARGS=TRUE&amp;DOC_NAME=FAT:FQL_AUDITING_CLIENT_TEMPLATE.FAT&amp;display_string=Audit&amp;VAR:KEY=SRSNSNKJQF&amp;VAR:QUERY=RkZfQVNTRVRTX0NVUlJfT1RIKEFOTiwtOSwwLFksUlAsTE9DQUwsTSk=&amp;WINDOW=FIRST_POPUP&amp;HEIGHT=45","0&amp;WIDTH=450&amp;START_MAXIMIZED=FALSE&amp;VAR:CALENDAR=US&amp;VAR:SYMBOL=14912310&amp;VAR:INDEX=5"}</definedName>
    <definedName name="_339__FDSAUDITLINK__">{"fdsup://directions/FAT Viewer?action=UPDATE&amp;creator=factset&amp;DYN_ARGS=TRUE&amp;DOC_NAME=FAT:FQL_AUDITING_CLIENT_TEMPLATE.FAT&amp;display_string=Audit&amp;VAR:KEY=SRSNSNKJQF&amp;VAR:QUERY=RkZfQVNTRVRTX0NVUlJfT1RIKEFOTiwtOSwwLFksUlAsTE9DQUwsTSk=&amp;WINDOW=FIRST_POPUP&amp;HEIGHT=45","0&amp;WIDTH=450&amp;START_MAXIMIZED=FALSE&amp;VAR:CALENDAR=US&amp;VAR:SYMBOL=14912310&amp;VAR:INDEX=4"}</definedName>
    <definedName name="_34__FDSAUDITLINK__">{"fdsup://directions/FAT Viewer?action=UPDATE&amp;creator=factset&amp;DYN_ARGS=TRUE&amp;DOC_NAME=FAT:FQL_AUDITING_CLIENT_TEMPLATE.FAT&amp;display_string=Audit&amp;VAR:KEY=SLYVIVOXCL&amp;VAR:QUERY=RkZfUkVDRUlWX1RVUk5fREFZUyhBTk4sLTksMCxZLFJQKQ==&amp;WINDOW=FIRST_POPUP&amp;HEIGHT=450&amp;WIDTH=","450&amp;START_MAXIMIZED=FALSE&amp;VAR:CALENDAR=US&amp;VAR:SYMBOL=14912310&amp;VAR:INDEX=3"}</definedName>
    <definedName name="_340__FDSAUDITLINK__">{"fdsup://directions/FAT Viewer?action=UPDATE&amp;creator=factset&amp;DYN_ARGS=TRUE&amp;DOC_NAME=FAT:FQL_AUDITING_CLIENT_TEMPLATE.FAT&amp;display_string=Audit&amp;VAR:KEY=SRSNSNKJQF&amp;VAR:QUERY=RkZfQVNTRVRTX0NVUlJfT1RIKEFOTiwtOSwwLFksUlAsTE9DQUwsTSk=&amp;WINDOW=FIRST_POPUP&amp;HEIGHT=45","0&amp;WIDTH=450&amp;START_MAXIMIZED=FALSE&amp;VAR:CALENDAR=US&amp;VAR:SYMBOL=14912310&amp;VAR:INDEX=3"}</definedName>
    <definedName name="_341__FDSAUDITLINK__">{"fdsup://directions/FAT Viewer?action=UPDATE&amp;creator=factset&amp;DYN_ARGS=TRUE&amp;DOC_NAME=FAT:FQL_AUDITING_CLIENT_TEMPLATE.FAT&amp;display_string=Audit&amp;VAR:KEY=SRSNSNKJQF&amp;VAR:QUERY=RkZfQVNTRVRTX0NVUlJfT1RIKEFOTiwtOSwwLFksUlAsTE9DQUwsTSk=&amp;WINDOW=FIRST_POPUP&amp;HEIGHT=45","0&amp;WIDTH=450&amp;START_MAXIMIZED=FALSE&amp;VAR:CALENDAR=US&amp;VAR:SYMBOL=14912310&amp;VAR:INDEX=2"}</definedName>
    <definedName name="_342__FDSAUDITLINK__">{"fdsup://directions/FAT Viewer?action=UPDATE&amp;creator=factset&amp;DYN_ARGS=TRUE&amp;DOC_NAME=FAT:FQL_AUDITING_CLIENT_TEMPLATE.FAT&amp;display_string=Audit&amp;VAR:KEY=SRSNSNKJQF&amp;VAR:QUERY=RkZfQVNTRVRTX0NVUlJfT1RIKEFOTiwtOSwwLFksUlAsTE9DQUwsTSk=&amp;WINDOW=FIRST_POPUP&amp;HEIGHT=45","0&amp;WIDTH=450&amp;START_MAXIMIZED=FALSE&amp;VAR:CALENDAR=US&amp;VAR:SYMBOL=14912310&amp;VAR:INDEX=1"}</definedName>
    <definedName name="_343__FDSAUDITLINK__">{"fdsup://Directions/FactSet Auditing Viewer?action=AUDIT_VALUE&amp;DB=129&amp;ID1=14912310&amp;VALUEID=02097&amp;SDATE=2009&amp;PERIODTYPE=ANN_STD&amp;SCFT=3&amp;window=popup_no_bar&amp;width=385&amp;height=120&amp;START_MAXIMIZED=FALSE&amp;creator=factset&amp;display_string=Audit"}</definedName>
    <definedName name="_344__FDSAUDITLINK__">{"fdsup://Directions/FactSet Auditing Viewer?action=AUDIT_VALUE&amp;DB=129&amp;ID1=14912310&amp;VALUEID=01266&amp;SDATE=2005&amp;PERIODTYPE=ANN_STD&amp;SCFT=3&amp;window=popup_no_bar&amp;width=385&amp;height=120&amp;START_MAXIMIZED=FALSE&amp;creator=factset&amp;display_string=Audit"}</definedName>
    <definedName name="_345__FDSAUDITLINK__">{"fdsup://Directions/FactSet Auditing Viewer?action=AUDIT_VALUE&amp;DB=129&amp;ID1=14912310&amp;VALUEID=02097&amp;SDATE=2007&amp;PERIODTYPE=ANN_STD&amp;SCFT=3&amp;window=popup_no_bar&amp;width=385&amp;height=120&amp;START_MAXIMIZED=FALSE&amp;creator=factset&amp;display_string=Audit"}</definedName>
    <definedName name="_346__FDSAUDITLINK__">{"fdsup://Directions/FactSet Auditing Viewer?action=AUDIT_VALUE&amp;DB=129&amp;ID1=14912310&amp;VALUEID=02097&amp;SDATE=2006&amp;PERIODTYPE=ANN_STD&amp;SCFT=3&amp;window=popup_no_bar&amp;width=385&amp;height=120&amp;START_MAXIMIZED=FALSE&amp;creator=factset&amp;display_string=Audit"}</definedName>
    <definedName name="_347__FDSAUDITLINK__">{"fdsup://Directions/FactSet Auditing Viewer?action=AUDIT_VALUE&amp;DB=129&amp;ID1=14912310&amp;VALUEID=02097&amp;SDATE=2004&amp;PERIODTYPE=ANN_STD&amp;SCFT=3&amp;window=popup_no_bar&amp;width=385&amp;height=120&amp;START_MAXIMIZED=FALSE&amp;creator=factset&amp;display_string=Audit"}</definedName>
    <definedName name="_348__FDSAUDITLINK__">{"fdsup://Directions/FactSet Auditing Viewer?action=AUDIT_VALUE&amp;DB=129&amp;ID1=14912310&amp;VALUEID=01266&amp;SDATE=2010&amp;PERIODTYPE=ANN_STD&amp;SCFT=3&amp;window=popup_no_bar&amp;width=385&amp;height=120&amp;START_MAXIMIZED=FALSE&amp;creator=factset&amp;display_string=Audit"}</definedName>
    <definedName name="_349__FDSAUDITLINK__">{"fdsup://Directions/FactSet Auditing Viewer?action=AUDIT_VALUE&amp;DB=129&amp;ID1=14912310&amp;VALUEID=02098&amp;SDATE=2009&amp;PERIODTYPE=ANN_STD&amp;SCFT=3&amp;window=popup_no_bar&amp;width=385&amp;height=120&amp;START_MAXIMIZED=FALSE&amp;creator=factset&amp;display_string=Audit"}</definedName>
    <definedName name="_35__FDSAUDITLINK__">{"fdsup://directions/FAT Viewer?action=UPDATE&amp;creator=factset&amp;DYN_ARGS=TRUE&amp;DOC_NAME=FAT:FQL_AUDITING_CLIENT_TEMPLATE.FAT&amp;display_string=Audit&amp;VAR:KEY=SLYVIVOXCL&amp;VAR:QUERY=RkZfUkVDRUlWX1RVUk5fREFZUyhBTk4sLTksMCxZLFJQKQ==&amp;WINDOW=FIRST_POPUP&amp;HEIGHT=450&amp;WIDTH=","450&amp;START_MAXIMIZED=FALSE&amp;VAR:CALENDAR=US&amp;VAR:SYMBOL=14912310&amp;VAR:INDEX=2"}</definedName>
    <definedName name="_350__FDSAUDITLINK__">{"fdsup://directions/FAT Viewer?action=UPDATE&amp;creator=factset&amp;DYN_ARGS=TRUE&amp;DOC_NAME=FAT:FQL_AUDITING_CLIENT_TEMPLATE.FAT&amp;display_string=Audit&amp;VAR:KEY=FIFSJUTWFI&amp;VAR:QUERY=RkZfTk9OX09QRVJfSU5DKEFOTiwtOSwwLFksUlAsTE9DQUwsTSk=&amp;WINDOW=FIRST_POPUP&amp;HEIGHT=450&amp;WI","DTH=450&amp;START_MAXIMIZED=FALSE&amp;VAR:CALENDAR=US&amp;VAR:SYMBOL=14912310&amp;VAR:INDEX=8"}</definedName>
    <definedName name="_351__FDSAUDITLINK__">{"fdsup://Directions/FactSet Auditing Viewer?action=AUDIT_VALUE&amp;DB=129&amp;ID1=14912310&amp;VALUEID=02098&amp;SDATE=2007&amp;PERIODTYPE=ANN_STD&amp;SCFT=3&amp;window=popup_no_bar&amp;width=385&amp;height=120&amp;START_MAXIMIZED=FALSE&amp;creator=factset&amp;display_string=Audit"}</definedName>
    <definedName name="_352__FDSAUDITLINK__">{"fdsup://Directions/FactSet Auditing Viewer?action=AUDIT_VALUE&amp;DB=129&amp;ID1=14912310&amp;VALUEID=02098&amp;SDATE=2006&amp;PERIODTYPE=ANN_STD&amp;SCFT=3&amp;window=popup_no_bar&amp;width=385&amp;height=120&amp;START_MAXIMIZED=FALSE&amp;creator=factset&amp;display_string=Audit"}</definedName>
    <definedName name="_353__FDSAUDITLINK__">{"fdsup://Directions/FactSet Auditing Viewer?action=AUDIT_VALUE&amp;DB=129&amp;ID1=14912310&amp;VALUEID=02098&amp;SDATE=2004&amp;PERIODTYPE=ANN_STD&amp;SCFT=3&amp;window=popup_no_bar&amp;width=385&amp;height=120&amp;START_MAXIMIZED=FALSE&amp;creator=factset&amp;display_string=Audit"}</definedName>
    <definedName name="_354__FDSAUDITLINK__">{"fdsup://directions/FAT Viewer?action=UPDATE&amp;creator=factset&amp;DYN_ARGS=TRUE&amp;DOC_NAME=FAT:FQL_AUDITING_CLIENT_TEMPLATE.FAT&amp;display_string=Audit&amp;VAR:KEY=FIFSJUTWFI&amp;VAR:QUERY=RkZfTk9OX09QRVJfSU5DKEFOTiwtOSwwLFksUlAsTE9DQUwsTSk=&amp;WINDOW=FIRST_POPUP&amp;HEIGHT=450&amp;WI","DTH=450&amp;START_MAXIMIZED=FALSE&amp;VAR:CALENDAR=US&amp;VAR:SYMBOL=14912310&amp;VAR:INDEX=4"}</definedName>
    <definedName name="_355__FDSAUDITLINK__">{"fdsup://Directions/FactSet Auditing Viewer?action=AUDIT_VALUE&amp;DB=129&amp;ID1=14912310&amp;VALUEID=02099&amp;SDATE=2009&amp;PERIODTYPE=ANN_STD&amp;SCFT=3&amp;window=popup_no_bar&amp;width=385&amp;height=120&amp;START_MAXIMIZED=FALSE&amp;creator=factset&amp;display_string=Audit"}</definedName>
    <definedName name="_356__FDSAUDITLINK__">{"fdsup://directions/FAT Viewer?action=UPDATE&amp;creator=factset&amp;DYN_ARGS=TRUE&amp;DOC_NAME=FAT:FQL_AUDITING_CLIENT_TEMPLATE.FAT&amp;display_string=Audit&amp;VAR:KEY=FIFSJUTWFI&amp;VAR:QUERY=RkZfTk9OX09QRVJfSU5DKEFOTiwtOSwwLFksUlAsTE9DQUwsTSk=&amp;WINDOW=FIRST_POPUP&amp;HEIGHT=450&amp;WI","DTH=450&amp;START_MAXIMIZED=FALSE&amp;VAR:CALENDAR=US&amp;VAR:SYMBOL=14912310&amp;VAR:INDEX=2"}</definedName>
    <definedName name="_357__FDSAUDITLINK__">{"fdsup://Directions/FactSet Auditing Viewer?action=AUDIT_VALUE&amp;DB=129&amp;ID1=14912310&amp;VALUEID=02099&amp;SDATE=2007&amp;PERIODTYPE=ANN_STD&amp;SCFT=3&amp;window=popup_no_bar&amp;width=385&amp;height=120&amp;START_MAXIMIZED=FALSE&amp;creator=factset&amp;display_string=Audit"}</definedName>
    <definedName name="_358__FDSAUDITLINK__">{"fdsup://Directions/FactSet Auditing Viewer?action=AUDIT_VALUE&amp;DB=129&amp;ID1=14912310&amp;VALUEID=02099&amp;SDATE=2006&amp;PERIODTYPE=ANN_STD&amp;SCFT=3&amp;window=popup_no_bar&amp;width=385&amp;height=120&amp;START_MAXIMIZED=FALSE&amp;creator=factset&amp;display_string=Audit"}</definedName>
    <definedName name="_359__FDSAUDITLINK__">{"fdsup://Directions/FactSet Auditing Viewer?action=AUDIT_VALUE&amp;DB=129&amp;ID1=14912310&amp;VALUEID=02099&amp;SDATE=2004&amp;PERIODTYPE=ANN_STD&amp;SCFT=3&amp;window=popup_no_bar&amp;width=385&amp;height=120&amp;START_MAXIMIZED=FALSE&amp;creator=factset&amp;display_string=Audit"}</definedName>
    <definedName name="_36__FDSAUDITLINK__">{"fdsup://directions/FAT Viewer?action=UPDATE&amp;creator=factset&amp;DYN_ARGS=TRUE&amp;DOC_NAME=FAT:FQL_AUDITING_CLIENT_TEMPLATE.FAT&amp;display_string=Audit&amp;VAR:KEY=SLYVIVOXCL&amp;VAR:QUERY=RkZfUkVDRUlWX1RVUk5fREFZUyhBTk4sLTksMCxZLFJQKQ==&amp;WINDOW=FIRST_POPUP&amp;HEIGHT=450&amp;WIDTH=","450&amp;START_MAXIMIZED=FALSE&amp;VAR:CALENDAR=US&amp;VAR:SYMBOL=14912310&amp;VAR:INDEX=1"}</definedName>
    <definedName name="_360__FDSAUDITLINK__">{"fdsup://directions/FAT Viewer?action=UPDATE&amp;creator=factset&amp;DYN_ARGS=TRUE&amp;DOC_NAME=FAT:FQL_AUDITING_CLIENT_TEMPLATE.FAT&amp;display_string=Audit&amp;VAR:KEY=ORCVWXUZKP&amp;VAR:QUERY=RkZfRUJJVF9PUEVSX01HTihBTk4sLTksMCxZLFJQLExPQ0FMLE0p&amp;WINDOW=FIRST_POPUP&amp;HEIGHT=450&amp;WI","DTH=450&amp;START_MAXIMIZED=FALSE&amp;VAR:CALENDAR=US&amp;VAR:SYMBOL=14912310&amp;VAR:INDEX=7"}</definedName>
    <definedName name="_361__FDSAUDITLINK__">{"fdsup://Directions/FactSet Auditing Viewer?action=AUDIT_VALUE&amp;DB=129&amp;ID1=14912310&amp;VALUEID=02101&amp;SDATE=2009&amp;PERIODTYPE=ANN_STD&amp;SCFT=3&amp;window=popup_no_bar&amp;width=385&amp;height=120&amp;START_MAXIMIZED=FALSE&amp;creator=factset&amp;display_string=Audit"}</definedName>
    <definedName name="_362__FDSAUDITLINK__">{"fdsup://directions/FAT Viewer?action=UPDATE&amp;creator=factset&amp;DYN_ARGS=TRUE&amp;DOC_NAME=FAT:FQL_AUDITING_CLIENT_TEMPLATE.FAT&amp;display_string=Audit&amp;VAR:KEY=ORCVWXUZKP&amp;VAR:QUERY=RkZfRUJJVF9PUEVSX01HTihBTk4sLTksMCxZLFJQLExPQ0FMLE0p&amp;WINDOW=FIRST_POPUP&amp;HEIGHT=450&amp;WI","DTH=450&amp;START_MAXIMIZED=FALSE&amp;VAR:CALENDAR=US&amp;VAR:SYMBOL=14912310&amp;VAR:INDEX=5"}</definedName>
    <definedName name="_363__FDSAUDITLINK__">{"fdsup://Directions/FactSet Auditing Viewer?action=AUDIT_VALUE&amp;DB=129&amp;ID1=14912310&amp;VALUEID=02101&amp;SDATE=2007&amp;PERIODTYPE=ANN_STD&amp;SCFT=3&amp;window=popup_no_bar&amp;width=385&amp;height=120&amp;START_MAXIMIZED=FALSE&amp;creator=factset&amp;display_string=Audit"}</definedName>
    <definedName name="_364__FDSAUDITLINK__">{"fdsup://Directions/FactSet Auditing Viewer?action=AUDIT_VALUE&amp;DB=129&amp;ID1=14912310&amp;VALUEID=02101&amp;SDATE=2006&amp;PERIODTYPE=ANN_STD&amp;SCFT=3&amp;window=popup_no_bar&amp;width=385&amp;height=120&amp;START_MAXIMIZED=FALSE&amp;creator=factset&amp;display_string=Audit"}</definedName>
    <definedName name="_365__FDSAUDITLINK__">{"fdsup://Directions/FactSet Auditing Viewer?action=AUDIT_VALUE&amp;DB=129&amp;ID1=14912310&amp;VALUEID=02101&amp;SDATE=2004&amp;PERIODTYPE=ANN_STD&amp;SCFT=3&amp;window=popup_no_bar&amp;width=385&amp;height=120&amp;START_MAXIMIZED=FALSE&amp;creator=factset&amp;display_string=Audit"}</definedName>
    <definedName name="_366__FDSAUDITLINK__">{"fdsup://directions/FAT Viewer?action=UPDATE&amp;creator=factset&amp;DYN_ARGS=TRUE&amp;DOC_NAME=FAT:FQL_AUDITING_CLIENT_TEMPLATE.FAT&amp;display_string=Audit&amp;VAR:KEY=ORCVWXUZKP&amp;VAR:QUERY=RkZfRUJJVF9PUEVSX01HTihBTk4sLTksMCxZLFJQLExPQ0FMLE0p&amp;WINDOW=FIRST_POPUP&amp;HEIGHT=450&amp;WI","DTH=450&amp;START_MAXIMIZED=FALSE&amp;VAR:CALENDAR=US&amp;VAR:SYMBOL=14912310&amp;VAR:INDEX=1"}</definedName>
    <definedName name="_367__FDSAUDITLINK__">{"fdsup://directions/FAT Viewer?action=UPDATE&amp;creator=factset&amp;DYN_ARGS=TRUE&amp;DOC_NAME=FAT:FQL_AUDITING_CLIENT_TEMPLATE.FAT&amp;display_string=Audit&amp;VAR:KEY=MZYDOZOXGR&amp;VAR:QUERY=RkZfUkVDRUlWX1NUX09USChBTk4sLTksMCxZLFJQLExPQ0FMLE0p&amp;WINDOW=FIRST_POPUP&amp;HEIGHT=450&amp;WI","DTH=450&amp;START_MAXIMIZED=FALSE&amp;VAR:CALENDAR=US&amp;VAR:SYMBOL=14912310&amp;VAR:INDEX=9"}</definedName>
    <definedName name="_368__FDSAUDITLINK__">{"fdsup://directions/FAT Viewer?action=UPDATE&amp;creator=factset&amp;DYN_ARGS=TRUE&amp;DOC_NAME=FAT:FQL_AUDITING_CLIENT_TEMPLATE.FAT&amp;display_string=Audit&amp;VAR:KEY=MZYDOZOXGR&amp;VAR:QUERY=RkZfUkVDRUlWX1NUX09USChBTk4sLTksMCxZLFJQLExPQ0FMLE0p&amp;WINDOW=FIRST_POPUP&amp;HEIGHT=450&amp;WI","DTH=450&amp;START_MAXIMIZED=FALSE&amp;VAR:CALENDAR=US&amp;VAR:SYMBOL=14912310&amp;VAR:INDEX=8"}</definedName>
    <definedName name="_369__FDSAUDITLINK__">{"fdsup://directions/FAT Viewer?action=UPDATE&amp;creator=factset&amp;DYN_ARGS=TRUE&amp;DOC_NAME=FAT:FQL_AUDITING_CLIENT_TEMPLATE.FAT&amp;display_string=Audit&amp;VAR:KEY=MZYDOZOXGR&amp;VAR:QUERY=RkZfUkVDRUlWX1NUX09USChBTk4sLTksMCxZLFJQLExPQ0FMLE0p&amp;WINDOW=FIRST_POPUP&amp;HEIGHT=450&amp;WI","DTH=450&amp;START_MAXIMIZED=FALSE&amp;VAR:CALENDAR=US&amp;VAR:SYMBOL=14912310&amp;VAR:INDEX=7"}</definedName>
    <definedName localSheetId="0" name="_36Liquidaciones2016">[19]useless!#REF!</definedName>
    <definedName name="_36Liquidaciones2016">[19]useless!#REF!</definedName>
    <definedName name="_37__FDSAUDITLINK__">{"fdsup://directions/FAT Viewer?action=UPDATE&amp;creator=factset&amp;DYN_ARGS=TRUE&amp;DOC_NAME=FAT:FQL_AUDITING_CLIENT_TEMPLATE.FAT&amp;display_string=Audit&amp;VAR:KEY=RANAXINAFG&amp;VAR:QUERY=RkZfUkVDRUlWX1RVUk5fREFZUyhBTk4sLTksMCxZLFJQKSArIEZGX0lOVkVOX0RBWVMoQU5OLC05LDAsWSxSU","CkgLSBGRl9QQVlfVFVSTl9EQVlTKEFOTiwtOSwwLFksUlAp&amp;WINDOW=FIRST_POPUP&amp;HEIGHT=450&amp;WIDTH=450&amp;START_MAXIMIZED=FALSE&amp;VAR:CALENDAR=US&amp;VAR:SYMBOL=14912310&amp;VAR:INDEX=9"}</definedName>
    <definedName name="_370__FDSAUDITLINK__">{"fdsup://directions/FAT Viewer?action=UPDATE&amp;creator=factset&amp;DYN_ARGS=TRUE&amp;DOC_NAME=FAT:FQL_AUDITING_CLIENT_TEMPLATE.FAT&amp;display_string=Audit&amp;VAR:KEY=MZYDOZOXGR&amp;VAR:QUERY=RkZfUkVDRUlWX1NUX09USChBTk4sLTksMCxZLFJQLExPQ0FMLE0p&amp;WINDOW=FIRST_POPUP&amp;HEIGHT=450&amp;WI","DTH=450&amp;START_MAXIMIZED=FALSE&amp;VAR:CALENDAR=US&amp;VAR:SYMBOL=14912310&amp;VAR:INDEX=6"}</definedName>
    <definedName name="_371__FDSAUDITLINK__">{"fdsup://directions/FAT Viewer?action=UPDATE&amp;creator=factset&amp;DYN_ARGS=TRUE&amp;DOC_NAME=FAT:FQL_AUDITING_CLIENT_TEMPLATE.FAT&amp;display_string=Audit&amp;VAR:KEY=MZYDOZOXGR&amp;VAR:QUERY=RkZfUkVDRUlWX1NUX09USChBTk4sLTksMCxZLFJQLExPQ0FMLE0p&amp;WINDOW=FIRST_POPUP&amp;HEIGHT=450&amp;WI","DTH=450&amp;START_MAXIMIZED=FALSE&amp;VAR:CALENDAR=US&amp;VAR:SYMBOL=14912310&amp;VAR:INDEX=5"}</definedName>
    <definedName name="_372__FDSAUDITLINK__">{"fdsup://directions/FAT Viewer?action=UPDATE&amp;creator=factset&amp;DYN_ARGS=TRUE&amp;DOC_NAME=FAT:FQL_AUDITING_CLIENT_TEMPLATE.FAT&amp;display_string=Audit&amp;VAR:KEY=MZYDOZOXGR&amp;VAR:QUERY=RkZfUkVDRUlWX1NUX09USChBTk4sLTksMCxZLFJQLExPQ0FMLE0p&amp;WINDOW=FIRST_POPUP&amp;HEIGHT=450&amp;WI","DTH=450&amp;START_MAXIMIZED=FALSE&amp;VAR:CALENDAR=US&amp;VAR:SYMBOL=14912310&amp;VAR:INDEX=4"}</definedName>
    <definedName name="_373__FDSAUDITLINK__">{"fdsup://directions/FAT Viewer?action=UPDATE&amp;creator=factset&amp;DYN_ARGS=TRUE&amp;DOC_NAME=FAT:FQL_AUDITING_CLIENT_TEMPLATE.FAT&amp;display_string=Audit&amp;VAR:KEY=MZYDOZOXGR&amp;VAR:QUERY=RkZfUkVDRUlWX1NUX09USChBTk4sLTksMCxZLFJQLExPQ0FMLE0p&amp;WINDOW=FIRST_POPUP&amp;HEIGHT=450&amp;WI","DTH=450&amp;START_MAXIMIZED=FALSE&amp;VAR:CALENDAR=US&amp;VAR:SYMBOL=14912310&amp;VAR:INDEX=3"}</definedName>
    <definedName name="_374__FDSAUDITLINK__">{"fdsup://directions/FAT Viewer?action=UPDATE&amp;creator=factset&amp;DYN_ARGS=TRUE&amp;DOC_NAME=FAT:FQL_AUDITING_CLIENT_TEMPLATE.FAT&amp;display_string=Audit&amp;VAR:KEY=MZYDOZOXGR&amp;VAR:QUERY=RkZfUkVDRUlWX1NUX09USChBTk4sLTksMCxZLFJQLExPQ0FMLE0p&amp;WINDOW=FIRST_POPUP&amp;HEIGHT=450&amp;WI","DTH=450&amp;START_MAXIMIZED=FALSE&amp;VAR:CALENDAR=US&amp;VAR:SYMBOL=14912310&amp;VAR:INDEX=2"}</definedName>
    <definedName name="_375__FDSAUDITLINK__">{"fdsup://directions/FAT Viewer?action=UPDATE&amp;creator=factset&amp;DYN_ARGS=TRUE&amp;DOC_NAME=FAT:FQL_AUDITING_CLIENT_TEMPLATE.FAT&amp;display_string=Audit&amp;VAR:KEY=MZYDOZOXGR&amp;VAR:QUERY=RkZfUkVDRUlWX1NUX09USChBTk4sLTksMCxZLFJQLExPQ0FMLE0p&amp;WINDOW=FIRST_POPUP&amp;HEIGHT=450&amp;WI","DTH=450&amp;START_MAXIMIZED=FALSE&amp;VAR:CALENDAR=US&amp;VAR:SYMBOL=14912310&amp;VAR:INDEX=1"}</definedName>
    <definedName name="_376__FDSAUDITLINK__">{"fdsup://directions/FAT Viewer?action=UPDATE&amp;creator=factset&amp;DYN_ARGS=TRUE&amp;DOC_NAME=FAT:FQL_AUDITING_CLIENT_TEMPLATE.FAT&amp;display_string=Audit&amp;VAR:KEY=QROVEDABUH&amp;VAR:QUERY=RkZfUkVDRUlWX0dST1NTKEFOTiwtOSwwLFksUlAsTE9DQUwsTSk=&amp;WINDOW=FIRST_POPUP&amp;HEIGHT=450&amp;WI","DTH=450&amp;START_MAXIMIZED=FALSE&amp;VAR:CALENDAR=US&amp;VAR:SYMBOL=14912310&amp;VAR:INDEX=9"}</definedName>
    <definedName name="_377__FDSAUDITLINK__">{"fdsup://directions/FAT Viewer?action=UPDATE&amp;creator=factset&amp;DYN_ARGS=TRUE&amp;DOC_NAME=FAT:FQL_AUDITING_CLIENT_TEMPLATE.FAT&amp;display_string=Audit&amp;VAR:KEY=QROVEDABUH&amp;VAR:QUERY=RkZfUkVDRUlWX0dST1NTKEFOTiwtOSwwLFksUlAsTE9DQUwsTSk=&amp;WINDOW=FIRST_POPUP&amp;HEIGHT=450&amp;WI","DTH=450&amp;START_MAXIMIZED=FALSE&amp;VAR:CALENDAR=US&amp;VAR:SYMBOL=14912310&amp;VAR:INDEX=8"}</definedName>
    <definedName name="_378__FDSAUDITLINK__">{"fdsup://directions/FAT Viewer?action=UPDATE&amp;creator=factset&amp;DYN_ARGS=TRUE&amp;DOC_NAME=FAT:FQL_AUDITING_CLIENT_TEMPLATE.FAT&amp;display_string=Audit&amp;VAR:KEY=QROVEDABUH&amp;VAR:QUERY=RkZfUkVDRUlWX0dST1NTKEFOTiwtOSwwLFksUlAsTE9DQUwsTSk=&amp;WINDOW=FIRST_POPUP&amp;HEIGHT=450&amp;WI","DTH=450&amp;START_MAXIMIZED=FALSE&amp;VAR:CALENDAR=US&amp;VAR:SYMBOL=14912310&amp;VAR:INDEX=7"}</definedName>
    <definedName name="_379__FDSAUDITLINK__">{"fdsup://directions/FAT Viewer?action=UPDATE&amp;creator=factset&amp;DYN_ARGS=TRUE&amp;DOC_NAME=FAT:FQL_AUDITING_CLIENT_TEMPLATE.FAT&amp;display_string=Audit&amp;VAR:KEY=QROVEDABUH&amp;VAR:QUERY=RkZfUkVDRUlWX0dST1NTKEFOTiwtOSwwLFksUlAsTE9DQUwsTSk=&amp;WINDOW=FIRST_POPUP&amp;HEIGHT=450&amp;WI","DTH=450&amp;START_MAXIMIZED=FALSE&amp;VAR:CALENDAR=US&amp;VAR:SYMBOL=14912310&amp;VAR:INDEX=6"}</definedName>
    <definedName name="_38__FDSAUDITLINK__">{"fdsup://directions/FAT Viewer?action=UPDATE&amp;creator=factset&amp;DYN_ARGS=TRUE&amp;DOC_NAME=FAT:FQL_AUDITING_CLIENT_TEMPLATE.FAT&amp;display_string=Audit&amp;VAR:KEY=RANAXINAFG&amp;VAR:QUERY=RkZfUkVDRUlWX1RVUk5fREFZUyhBTk4sLTksMCxZLFJQKSArIEZGX0lOVkVOX0RBWVMoQU5OLC05LDAsWSxSU","CkgLSBGRl9QQVlfVFVSTl9EQVlTKEFOTiwtOSwwLFksUlAp&amp;WINDOW=FIRST_POPUP&amp;HEIGHT=450&amp;WIDTH=450&amp;START_MAXIMIZED=FALSE&amp;VAR:CALENDAR=US&amp;VAR:SYMBOL=14912310&amp;VAR:INDEX=8"}</definedName>
    <definedName name="_380__FDSAUDITLINK__">{"fdsup://directions/FAT Viewer?action=UPDATE&amp;creator=factset&amp;DYN_ARGS=TRUE&amp;DOC_NAME=FAT:FQL_AUDITING_CLIENT_TEMPLATE.FAT&amp;display_string=Audit&amp;VAR:KEY=QROVEDABUH&amp;VAR:QUERY=RkZfUkVDRUlWX0dST1NTKEFOTiwtOSwwLFksUlAsTE9DQUwsTSk=&amp;WINDOW=FIRST_POPUP&amp;HEIGHT=450&amp;WI","DTH=450&amp;START_MAXIMIZED=FALSE&amp;VAR:CALENDAR=US&amp;VAR:SYMBOL=14912310&amp;VAR:INDEX=5"}</definedName>
    <definedName name="_381__FDSAUDITLINK__">{"fdsup://directions/FAT Viewer?action=UPDATE&amp;creator=factset&amp;DYN_ARGS=TRUE&amp;DOC_NAME=FAT:FQL_AUDITING_CLIENT_TEMPLATE.FAT&amp;display_string=Audit&amp;VAR:KEY=QROVEDABUH&amp;VAR:QUERY=RkZfUkVDRUlWX0dST1NTKEFOTiwtOSwwLFksUlAsTE9DQUwsTSk=&amp;WINDOW=FIRST_POPUP&amp;HEIGHT=450&amp;WI","DTH=450&amp;START_MAXIMIZED=FALSE&amp;VAR:CALENDAR=US&amp;VAR:SYMBOL=14912310&amp;VAR:INDEX=4"}</definedName>
    <definedName name="_382__FDSAUDITLINK__">{"fdsup://directions/FAT Viewer?action=UPDATE&amp;creator=factset&amp;DYN_ARGS=TRUE&amp;DOC_NAME=FAT:FQL_AUDITING_CLIENT_TEMPLATE.FAT&amp;display_string=Audit&amp;VAR:KEY=QROVEDABUH&amp;VAR:QUERY=RkZfUkVDRUlWX0dST1NTKEFOTiwtOSwwLFksUlAsTE9DQUwsTSk=&amp;WINDOW=FIRST_POPUP&amp;HEIGHT=450&amp;WI","DTH=450&amp;START_MAXIMIZED=FALSE&amp;VAR:CALENDAR=US&amp;VAR:SYMBOL=14912310&amp;VAR:INDEX=3"}</definedName>
    <definedName name="_383__FDSAUDITLINK__">{"fdsup://directions/FAT Viewer?action=UPDATE&amp;creator=factset&amp;DYN_ARGS=TRUE&amp;DOC_NAME=FAT:FQL_AUDITING_CLIENT_TEMPLATE.FAT&amp;display_string=Audit&amp;VAR:KEY=QROVEDABUH&amp;VAR:QUERY=RkZfUkVDRUlWX0dST1NTKEFOTiwtOSwwLFksUlAsTE9DQUwsTSk=&amp;WINDOW=FIRST_POPUP&amp;HEIGHT=450&amp;WI","DTH=450&amp;START_MAXIMIZED=FALSE&amp;VAR:CALENDAR=US&amp;VAR:SYMBOL=14912310&amp;VAR:INDEX=2"}</definedName>
    <definedName name="_384__FDSAUDITLINK__">{"fdsup://directions/FAT Viewer?action=UPDATE&amp;creator=factset&amp;DYN_ARGS=TRUE&amp;DOC_NAME=FAT:FQL_AUDITING_CLIENT_TEMPLATE.FAT&amp;display_string=Audit&amp;VAR:KEY=QROVEDABUH&amp;VAR:QUERY=RkZfUkVDRUlWX0dST1NTKEFOTiwtOSwwLFksUlAsTE9DQUwsTSk=&amp;WINDOW=FIRST_POPUP&amp;HEIGHT=450&amp;WI","DTH=450&amp;START_MAXIMIZED=FALSE&amp;VAR:CALENDAR=US&amp;VAR:SYMBOL=14912310&amp;VAR:INDEX=1"}</definedName>
    <definedName name="_385__FDSAUDITLINK__">{"fdsup://directions/FAT Viewer?action=UPDATE&amp;creator=factset&amp;DYN_ARGS=TRUE&amp;DOC_NAME=FAT:FQL_AUDITING_CLIENT_TEMPLATE.FAT&amp;display_string=Audit&amp;VAR:KEY=IJGHKXSDWN&amp;VAR:QUERY=RkZfU0dBX1NBTEVTKEFOTiwtOSwwLFksUlAp&amp;WINDOW=FIRST_POPUP&amp;HEIGHT=450&amp;WIDTH=450&amp;START_MA","XIMIZED=FALSE&amp;VAR:CALENDAR=US&amp;VAR:SYMBOL=14912310&amp;VAR:INDEX=9"}</definedName>
    <definedName name="_386__FDSAUDITLINK__">{"fdsup://directions/FAT Viewer?action=UPDATE&amp;creator=factset&amp;DYN_ARGS=TRUE&amp;DOC_NAME=FAT:FQL_AUDITING_CLIENT_TEMPLATE.FAT&amp;display_string=Audit&amp;VAR:KEY=IJGHKXSDWN&amp;VAR:QUERY=RkZfU0dBX1NBTEVTKEFOTiwtOSwwLFksUlAp&amp;WINDOW=FIRST_POPUP&amp;HEIGHT=450&amp;WIDTH=450&amp;START_MA","XIMIZED=FALSE&amp;VAR:CALENDAR=US&amp;VAR:SYMBOL=14912310&amp;VAR:INDEX=8"}</definedName>
    <definedName name="_387__FDSAUDITLINK__">{"fdsup://Directions/FactSet Auditing Viewer?action=AUDIT_VALUE&amp;DB=129&amp;ID1=14912310&amp;VALUEID=18297&amp;SDATE=2007&amp;PERIODTYPE=ANN_STD&amp;SCFT=3&amp;window=popup_no_bar&amp;width=385&amp;height=120&amp;START_MAXIMIZED=FALSE&amp;creator=factset&amp;display_string=Audit"}</definedName>
    <definedName name="_388__FDSAUDITLINK__">{"fdsup://Directions/FactSet Auditing Viewer?action=AUDIT_VALUE&amp;DB=129&amp;ID1=14912310&amp;VALUEID=18297&amp;SDATE=2006&amp;PERIODTYPE=ANN_STD&amp;SCFT=3&amp;window=popup_no_bar&amp;width=385&amp;height=120&amp;START_MAXIMIZED=FALSE&amp;creator=factset&amp;display_string=Audit"}</definedName>
    <definedName name="_389__FDSAUDITLINK__">{"fdsup://Directions/FactSet Auditing Viewer?action=AUDIT_VALUE&amp;DB=129&amp;ID1=14912310&amp;VALUEID=02051&amp;SDATE=2009&amp;PERIODTYPE=ANN_STD&amp;SCFT=3&amp;window=popup_no_bar&amp;width=385&amp;height=120&amp;START_MAXIMIZED=FALSE&amp;creator=factset&amp;display_string=Audit"}</definedName>
    <definedName name="_39__FDSAUDITLINK__">{"fdsup://directions/FAT Viewer?action=UPDATE&amp;creator=factset&amp;DYN_ARGS=TRUE&amp;DOC_NAME=FAT:FQL_AUDITING_CLIENT_TEMPLATE.FAT&amp;display_string=Audit&amp;VAR:KEY=RANAXINAFG&amp;VAR:QUERY=RkZfUkVDRUlWX1RVUk5fREFZUyhBTk4sLTksMCxZLFJQKSArIEZGX0lOVkVOX0RBWVMoQU5OLC05LDAsWSxSU","CkgLSBGRl9QQVlfVFVSTl9EQVlTKEFOTiwtOSwwLFksUlAp&amp;WINDOW=FIRST_POPUP&amp;HEIGHT=450&amp;WIDTH=450&amp;START_MAXIMIZED=FALSE&amp;VAR:CALENDAR=US&amp;VAR:SYMBOL=14912310&amp;VAR:INDEX=7"}</definedName>
    <definedName name="_390__FDSAUDITLINK__">{"fdsup://directions/FAT Viewer?action=UPDATE&amp;creator=factset&amp;DYN_ARGS=TRUE&amp;DOC_NAME=FAT:FQL_AUDITING_CLIENT_TEMPLATE.FAT&amp;display_string=Audit&amp;VAR:KEY=IJGHKXSDWN&amp;VAR:QUERY=RkZfU0dBX1NBTEVTKEFOTiwtOSwwLFksUlAp&amp;WINDOW=FIRST_POPUP&amp;HEIGHT=450&amp;WIDTH=450&amp;START_MA","XIMIZED=FALSE&amp;VAR:CALENDAR=US&amp;VAR:SYMBOL=14912310&amp;VAR:INDEX=4"}</definedName>
    <definedName name="_391__FDSAUDITLINK__">{"fdsup://Directions/FactSet Auditing Viewer?action=AUDIT_VALUE&amp;DB=129&amp;ID1=14912310&amp;VALUEID=02051&amp;SDATE=2007&amp;PERIODTYPE=ANN_STD&amp;SCFT=3&amp;window=popup_no_bar&amp;width=385&amp;height=120&amp;START_MAXIMIZED=FALSE&amp;creator=factset&amp;display_string=Audit"}</definedName>
    <definedName name="_392__FDSAUDITLINK__">{"fdsup://Directions/FactSet Auditing Viewer?action=AUDIT_VALUE&amp;DB=129&amp;ID1=14912310&amp;VALUEID=02051&amp;SDATE=2006&amp;PERIODTYPE=ANN_STD&amp;SCFT=3&amp;window=popup_no_bar&amp;width=385&amp;height=120&amp;START_MAXIMIZED=FALSE&amp;creator=factset&amp;display_string=Audit"}</definedName>
    <definedName name="_393__FDSAUDITLINK__">{"fdsup://Directions/FactSet Auditing Viewer?action=AUDIT_VALUE&amp;DB=129&amp;ID1=14912310&amp;VALUEID=02051&amp;SDATE=2004&amp;PERIODTYPE=ANN_STD&amp;SCFT=3&amp;window=popup_no_bar&amp;width=385&amp;height=120&amp;START_MAXIMIZED=FALSE&amp;creator=factset&amp;display_string=Audit"}</definedName>
    <definedName name="_394__FDSAUDITLINK__">{"fdsup://directions/FAT Viewer?action=UPDATE&amp;creator=factset&amp;DYN_ARGS=TRUE&amp;DOC_NAME=FAT:FQL_AUDITING_CLIENT_TEMPLATE.FAT&amp;display_string=Audit&amp;VAR:KEY=HEVEDKDWDW&amp;VAR:QUERY=UENUQ0hHKEZGX1NHQShBTk4sLTksMCxZLFJQLExPQ0FMLE0pLEZGX1NHQShBTk4sLTEsLTkgLSAxLFksUlAsT","E9DQUwsTSkp&amp;WINDOW=FIRST_POPUP&amp;HEIGHT=450&amp;WIDTH=450&amp;START_MAXIMIZED=FALSE&amp;VAR:CALENDAR=US&amp;VAR:SYMBOL=14912310&amp;VAR:INDEX=9"}</definedName>
    <definedName name="_395__FDSAUDITLINK__">{"fdsup://Directions/FactSet Auditing Viewer?action=AUDIT_VALUE&amp;DB=129&amp;ID1=14912310&amp;VALUEID=02001&amp;SDATE=2009&amp;PERIODTYPE=ANN_STD&amp;SCFT=3&amp;window=popup_no_bar&amp;width=385&amp;height=120&amp;START_MAXIMIZED=FALSE&amp;creator=factset&amp;display_string=Audit"}</definedName>
    <definedName name="_396__FDSAUDITLINK__">{"fdsup://directions/FAT Viewer?action=UPDATE&amp;creator=factset&amp;DYN_ARGS=TRUE&amp;DOC_NAME=FAT:FQL_AUDITING_CLIENT_TEMPLATE.FAT&amp;display_string=Audit&amp;VAR:KEY=HEVEDKDWDW&amp;VAR:QUERY=UENUQ0hHKEZGX1NHQShBTk4sLTksMCxZLFJQLExPQ0FMLE0pLEZGX1NHQShBTk4sLTEsLTkgLSAxLFksUlAsT","E9DQUwsTSkp&amp;WINDOW=FIRST_POPUP&amp;HEIGHT=450&amp;WIDTH=450&amp;START_MAXIMIZED=FALSE&amp;VAR:CALENDAR=US&amp;VAR:SYMBOL=14912310&amp;VAR:INDEX=7"}</definedName>
    <definedName name="_397__FDSAUDITLINK__">{"fdsup://Directions/FactSet Auditing Viewer?action=AUDIT_VALUE&amp;DB=129&amp;ID1=14912310&amp;VALUEID=02001&amp;SDATE=2007&amp;PERIODTYPE=ANN_STD&amp;SCFT=3&amp;window=popup_no_bar&amp;width=385&amp;height=120&amp;START_MAXIMIZED=FALSE&amp;creator=factset&amp;display_string=Audit"}</definedName>
    <definedName name="_398__FDSAUDITLINK__">{"fdsup://Directions/FactSet Auditing Viewer?action=AUDIT_VALUE&amp;DB=129&amp;ID1=14912310&amp;VALUEID=02001&amp;SDATE=2006&amp;PERIODTYPE=ANN_STD&amp;SCFT=3&amp;window=popup_no_bar&amp;width=385&amp;height=120&amp;START_MAXIMIZED=FALSE&amp;creator=factset&amp;display_string=Audit"}</definedName>
    <definedName name="_399__FDSAUDITLINK__">{"fdsup://Directions/FactSet Auditing Viewer?action=AUDIT_VALUE&amp;DB=129&amp;ID1=14912310&amp;VALUEID=02001&amp;SDATE=2004&amp;PERIODTYPE=ANN_STD&amp;SCFT=3&amp;window=popup_no_bar&amp;width=385&amp;height=120&amp;START_MAXIMIZED=FALSE&amp;creator=factset&amp;display_string=Audit"}</definedName>
    <definedName name="_4__123Graph_AChart_58B">'[18]Graph 1'!$C$61:$C$112</definedName>
    <definedName localSheetId="0" name="_4__123Graph_ACHART_8">'[17]Historical IS'!#REF!</definedName>
    <definedName name="_4__123Graph_ACHART_8">'[17]Historical IS'!#REF!</definedName>
    <definedName localSheetId="0" name="_4__123Graph_APBI_USA">'[1]Base diaria'!#REF!</definedName>
    <definedName name="_4__123Graph_APBI_USA">'[1]Base diaria'!#REF!</definedName>
    <definedName name="_4__123Graph_DChart_1A">[15]A!$C$100:$Q$100</definedName>
    <definedName localSheetId="0" name="_4__123Graph_XCRECIM">'[1]Base diaria'!#REF!</definedName>
    <definedName name="_4__123Graph_XCRECIM">'[1]Base diaria'!#REF!</definedName>
    <definedName name="_4__FDSAUDITLINK__">{"fdsup://directions/FAT Viewer?action=UPDATE&amp;creator=factset&amp;DYN_ARGS=TRUE&amp;DOC_NAME=FAT:FQL_AUDITING_CLIENT_TEMPLATE.FAT&amp;display_string=Audit&amp;VAR:KEY=YVQJGZGTCP&amp;VAR:QUERY=RkZfQlBTX1RBTkcoQU5OLC05LDAsWSxSUCxMT0NBTCxNKQ==&amp;WINDOW=FIRST_POPUP&amp;HEIGHT=450&amp;WIDTH=","450&amp;START_MAXIMIZED=FALSE&amp;VAR:CALENDAR=US&amp;VAR:SYMBOL=14912310&amp;VAR:INDEX=6"}</definedName>
    <definedName name="_40__FDSAUDITLINK__">{"fdsup://directions/FAT Viewer?action=UPDATE&amp;creator=factset&amp;DYN_ARGS=TRUE&amp;DOC_NAME=FAT:FQL_AUDITING_CLIENT_TEMPLATE.FAT&amp;display_string=Audit&amp;VAR:KEY=RANAXINAFG&amp;VAR:QUERY=RkZfUkVDRUlWX1RVUk5fREFZUyhBTk4sLTksMCxZLFJQKSArIEZGX0lOVkVOX0RBWVMoQU5OLC05LDAsWSxSU","CkgLSBGRl9QQVlfVFVSTl9EQVlTKEFOTiwtOSwwLFksUlAp&amp;WINDOW=FIRST_POPUP&amp;HEIGHT=450&amp;WIDTH=450&amp;START_MAXIMIZED=FALSE&amp;VAR:CALENDAR=US&amp;VAR:SYMBOL=14912310&amp;VAR:INDEX=6"}</definedName>
    <definedName name="_400__FDSAUDITLINK__">{"fdsup://directions/FAT Viewer?action=UPDATE&amp;creator=factset&amp;DYN_ARGS=TRUE&amp;DOC_NAME=FAT:FQL_AUDITING_CLIENT_TEMPLATE.FAT&amp;display_string=Audit&amp;VAR:KEY=HEVEDKDWDW&amp;VAR:QUERY=UENUQ0hHKEZGX1NHQShBTk4sLTksMCxZLFJQLExPQ0FMLE0pLEZGX1NHQShBTk4sLTEsLTkgLSAxLFksUlAsT","E9DQUwsTSkp&amp;WINDOW=FIRST_POPUP&amp;HEIGHT=450&amp;WIDTH=450&amp;START_MAXIMIZED=FALSE&amp;VAR:CALENDAR=US&amp;VAR:SYMBOL=14912310&amp;VAR:INDEX=3"}</definedName>
    <definedName name="_401__FDSAUDITLINK__">{"fdsup://directions/FAT Viewer?action=UPDATE&amp;creator=factset&amp;DYN_ARGS=TRUE&amp;DOC_NAME=FAT:FQL_AUDITING_CLIENT_TEMPLATE.FAT&amp;display_string=Audit&amp;VAR:KEY=YVQJGZGTCP&amp;VAR:QUERY=RkZfQlBTX1RBTkcoQU5OLC05LDAsWSxSUCxMT0NBTCxNKQ==&amp;WINDOW=FIRST_POPUP&amp;HEIGHT=450&amp;WIDTH=","450&amp;START_MAXIMIZED=FALSE&amp;VAR:CALENDAR=US&amp;VAR:SYMBOL=14912310&amp;VAR:INDEX=0"}</definedName>
    <definedName name="_402__FDSAUDITLINK__">{"fdsup://directions/FAT Viewer?action=UPDATE&amp;creator=factset&amp;DYN_ARGS=TRUE&amp;DOC_NAME=FAT:FQL_AUDITING_CLIENT_TEMPLATE.FAT&amp;display_string=Audit&amp;VAR:KEY=YBIZGHSFWT&amp;VAR:QUERY=RkZfUEFZX1RVUk5fREFZUyhBTk4sLTksMCxZLFJQKQ==&amp;WINDOW=FIRST_POPUP&amp;HEIGHT=450&amp;WIDTH=450&amp;","START_MAXIMIZED=FALSE&amp;VAR:CALENDAR=US&amp;VAR:SYMBOL=14912310&amp;VAR:INDEX=0"}</definedName>
    <definedName name="_403__FDSAUDITLINK__">{"fdsup://directions/FAT Viewer?action=UPDATE&amp;creator=factset&amp;DYN_ARGS=TRUE&amp;DOC_NAME=FAT:FQL_AUDITING_CLIENT_TEMPLATE.FAT&amp;display_string=Audit&amp;VAR:KEY=BKJKPMHKLK&amp;VAR:QUERY=RkZfSU5WRU5fREFZUyhBTk4sLTksMCxZLFJQKQ==&amp;WINDOW=FIRST_POPUP&amp;HEIGHT=450&amp;WIDTH=450&amp;STAR","T_MAXIMIZED=FALSE&amp;VAR:CALENDAR=US&amp;VAR:SYMBOL=14912310&amp;VAR:INDEX=0"}</definedName>
    <definedName name="_404__FDSAUDITLINK__">{"fdsup://directions/FAT Viewer?action=UPDATE&amp;creator=factset&amp;DYN_ARGS=TRUE&amp;DOC_NAME=FAT:FQL_AUDITING_CLIENT_TEMPLATE.FAT&amp;display_string=Audit&amp;VAR:KEY=SLYVIVOXCL&amp;VAR:QUERY=RkZfUkVDRUlWX1RVUk5fREFZUyhBTk4sLTksMCxZLFJQKQ==&amp;WINDOW=FIRST_POPUP&amp;HEIGHT=450&amp;WIDTH=","450&amp;START_MAXIMIZED=FALSE&amp;VAR:CALENDAR=US&amp;VAR:SYMBOL=14912310&amp;VAR:INDEX=0"}</definedName>
    <definedName name="_405__FDSAUDITLINK__">{"fdsup://directions/FAT Viewer?action=UPDATE&amp;creator=factset&amp;DYN_ARGS=TRUE&amp;DOC_NAME=FAT:FQL_AUDITING_CLIENT_TEMPLATE.FAT&amp;display_string=Audit&amp;VAR:KEY=RANAXINAFG&amp;VAR:QUERY=RkZfUkVDRUlWX1RVUk5fREFZUyhBTk4sLTksMCxZLFJQKSArIEZGX0lOVkVOX0RBWVMoQU5OLC05LDAsWSxSU","CkgLSBGRl9QQVlfVFVSTl9EQVlTKEFOTiwtOSwwLFksUlAp&amp;WINDOW=FIRST_POPUP&amp;HEIGHT=450&amp;WIDTH=450&amp;START_MAXIMIZED=FALSE&amp;VAR:CALENDAR=US&amp;VAR:SYMBOL=14912310&amp;VAR:INDEX=0"}</definedName>
    <definedName name="_406__FDSAUDITLINK__">{"fdsup://directions/FAT Viewer?action=UPDATE&amp;creator=factset&amp;DYN_ARGS=TRUE&amp;DOC_NAME=FAT:FQL_AUDITING_CLIENT_TEMPLATE.FAT&amp;display_string=Audit&amp;VAR:KEY=REPQFWZKVK&amp;VAR:QUERY=RkZfRVFfVE9UKEFOTiwtOSwwLFksUlAsTE9DQUwsTSk=&amp;WINDOW=FIRST_POPUP&amp;HEIGHT=450&amp;WIDTH=450&amp;","START_MAXIMIZED=FALSE&amp;VAR:CALENDAR=US&amp;VAR:SYMBOL=14912310&amp;VAR:INDEX=0"}</definedName>
    <definedName name="_407__FDSAUDITLINK__">{"fdsup://Directions/FactSet Auditing Viewer?action=AUDIT_VALUE&amp;DB=129&amp;ID1=14912310&amp;VALUEID=01202&amp;SDATE=2004&amp;PERIODTYPE=ANN_STD&amp;SCFT=3&amp;window=popup_no_bar&amp;width=385&amp;height=120&amp;START_MAXIMIZED=FALSE&amp;creator=factset&amp;display_string=Audit"}</definedName>
    <definedName name="_408__FDSAUDITLINK__">{"fdsup://directions/FAT Viewer?action=UPDATE&amp;creator=factset&amp;DYN_ARGS=TRUE&amp;DOC_NAME=FAT:FQL_AUDITING_CLIENT_TEMPLATE.FAT&amp;display_string=Audit&amp;VAR:KEY=TOHYFWHMFK&amp;VAR:QUERY=RkZfU0hMRFJTX0VRKEFOTiwtOSwwLFksUlAsTE9DQUwsTSk=&amp;WINDOW=FIRST_POPUP&amp;HEIGHT=450&amp;WIDTH=","450&amp;START_MAXIMIZED=FALSE&amp;VAR:CALENDAR=US&amp;VAR:SYMBOL=14912310&amp;VAR:INDEX=0"}</definedName>
    <definedName name="_409__FDSAUDITLINK__">{"fdsup://Directions/FactSet Auditing Viewer?action=AUDIT_VALUE&amp;DB=129&amp;ID1=14912310&amp;VALUEID=01201&amp;SDATE=2009&amp;PERIODTYPE=ANN_STD&amp;SCFT=3&amp;window=popup_no_bar&amp;width=385&amp;height=120&amp;START_MAXIMIZED=FALSE&amp;creator=factset&amp;display_string=Audit"}</definedName>
    <definedName name="_41__FDSAUDITLINK__">{"fdsup://directions/FAT Viewer?action=UPDATE&amp;creator=factset&amp;DYN_ARGS=TRUE&amp;DOC_NAME=FAT:FQL_AUDITING_CLIENT_TEMPLATE.FAT&amp;display_string=Audit&amp;VAR:KEY=RANAXINAFG&amp;VAR:QUERY=RkZfUkVDRUlWX1RVUk5fREFZUyhBTk4sLTksMCxZLFJQKSArIEZGX0lOVkVOX0RBWVMoQU5OLC05LDAsWSxSU","CkgLSBGRl9QQVlfVFVSTl9EQVlTKEFOTiwtOSwwLFksUlAp&amp;WINDOW=FIRST_POPUP&amp;HEIGHT=450&amp;WIDTH=450&amp;START_MAXIMIZED=FALSE&amp;VAR:CALENDAR=US&amp;VAR:SYMBOL=14912310&amp;VAR:INDEX=5"}</definedName>
    <definedName name="_410__FDSAUDITLINK__">{"fdsup://Directions/FactSet Auditing Viewer?action=AUDIT_VALUE&amp;DB=129&amp;ID1=14912310&amp;VALUEID=01201&amp;SDATE=2008&amp;PERIODTYPE=ANN_STD&amp;SCFT=3&amp;window=popup_no_bar&amp;width=385&amp;height=120&amp;START_MAXIMIZED=FALSE&amp;creator=factset&amp;display_string=Audit"}</definedName>
    <definedName name="_411__FDSAUDITLINK__">{"fdsup://Directions/FactSet Auditing Viewer?action=AUDIT_VALUE&amp;DB=129&amp;ID1=14912310&amp;VALUEID=01201&amp;SDATE=2007&amp;PERIODTYPE=ANN_STD&amp;SCFT=3&amp;window=popup_no_bar&amp;width=385&amp;height=120&amp;START_MAXIMIZED=FALSE&amp;creator=factset&amp;display_string=Audit"}</definedName>
    <definedName name="_412__FDSAUDITLINK__">{"fdsup://Directions/FactSet Auditing Viewer?action=AUDIT_VALUE&amp;DB=129&amp;ID1=14912310&amp;VALUEID=01201&amp;SDATE=2006&amp;PERIODTYPE=ANN_STD&amp;SCFT=3&amp;window=popup_no_bar&amp;width=385&amp;height=120&amp;START_MAXIMIZED=FALSE&amp;creator=factset&amp;display_string=Audit"}</definedName>
    <definedName name="_413__FDSAUDITLINK__">{"fdsup://Directions/FactSet Auditing Viewer?action=AUDIT_VALUE&amp;DB=129&amp;ID1=14912310&amp;VALUEID=01201&amp;SDATE=2005&amp;PERIODTYPE=ANN_STD&amp;SCFT=3&amp;window=popup_no_bar&amp;width=385&amp;height=120&amp;START_MAXIMIZED=FALSE&amp;creator=factset&amp;display_string=Audit"}</definedName>
    <definedName name="_414__FDSAUDITLINK__">{"fdsup://Directions/FactSet Auditing Viewer?action=AUDIT_VALUE&amp;DB=129&amp;ID1=14912310&amp;VALUEID=01201&amp;SDATE=2004&amp;PERIODTYPE=ANN_STD&amp;SCFT=3&amp;window=popup_no_bar&amp;width=385&amp;height=120&amp;START_MAXIMIZED=FALSE&amp;creator=factset&amp;display_string=Audit"}</definedName>
    <definedName name="_415__FDSAUDITLINK__">{"fdsup://Directions/FactSet Auditing Viewer?action=AUDIT_VALUE&amp;DB=129&amp;ID1=14912310&amp;VALUEID=01201&amp;SDATE=2010&amp;PERIODTYPE=ANN_STD&amp;SCFT=3&amp;window=popup_no_bar&amp;width=385&amp;height=120&amp;START_MAXIMIZED=FALSE&amp;creator=factset&amp;display_string=Audit"}</definedName>
    <definedName name="_416__FDSAUDITLINK__">{"fdsup://directions/FAT Viewer?action=UPDATE&amp;creator=factset&amp;DYN_ARGS=TRUE&amp;DOC_NAME=FAT:FQL_AUDITING_CLIENT_TEMPLATE.FAT&amp;display_string=Audit&amp;VAR:KEY=UDIFENMPUT&amp;VAR:QUERY=RkZfU0dBKEFOTiwtOSwwLFksUlAsTE9DQUwsTSk=&amp;WINDOW=FIRST_POPUP&amp;HEIGHT=450&amp;WIDTH=450&amp;STAR","T_MAXIMIZED=FALSE&amp;VAR:CALENDAR=US&amp;VAR:SYMBOL=14912310&amp;VAR:INDEX=9"}</definedName>
    <definedName name="_417__FDSAUDITLINK__">{"fdsup://directions/FAT Viewer?action=UPDATE&amp;creator=factset&amp;DYN_ARGS=TRUE&amp;DOC_NAME=FAT:FQL_AUDITING_CLIENT_TEMPLATE.FAT&amp;display_string=Audit&amp;VAR:KEY=IHQLIRGTCN&amp;VAR:QUERY=RkZfTElBQlNfT1RIX1hERkRfUkVWKEFOTiwtOSwwLFksUlAsTE9DQUwsTSk=&amp;WINDOW=FIRST_POPUP&amp;HEIGH","T=450&amp;WIDTH=450&amp;START_MAXIMIZED=FALSE&amp;VAR:CALENDAR=US&amp;VAR:SYMBOL=14912310&amp;VAR:INDEX=0"}</definedName>
    <definedName name="_418__FDSAUDITLINK__">{"fdsup://directions/FAT Viewer?action=UPDATE&amp;creator=factset&amp;DYN_ARGS=TRUE&amp;DOC_NAME=FAT:FQL_AUDITING_CLIENT_TEMPLATE.FAT&amp;display_string=Audit&amp;VAR:KEY=CBQPMNYDSX&amp;VAR:QUERY=RkZfTElBQlNfT1RIKEFOTiwtOSwwLFksUlAsTE9DQUwsTSk=&amp;WINDOW=FIRST_POPUP&amp;HEIGHT=450&amp;WIDTH=","450&amp;START_MAXIMIZED=FALSE&amp;VAR:CALENDAR=US&amp;VAR:SYMBOL=14912310&amp;VAR:INDEX=0"}</definedName>
    <definedName name="_419__FDSAUDITLINK__">{"fdsup://directions/FAT Viewer?action=UPDATE&amp;creator=factset&amp;DYN_ARGS=TRUE&amp;DOC_NAME=FAT:FQL_AUDITING_CLIENT_TEMPLATE.FAT&amp;display_string=Audit&amp;VAR:KEY=UDIFENMPUT&amp;VAR:QUERY=RkZfU0dBKEFOTiwtOSwwLFksUlAsTE9DQUwsTSk=&amp;WINDOW=FIRST_POPUP&amp;HEIGHT=450&amp;WIDTH=450&amp;STAR","T_MAXIMIZED=FALSE&amp;VAR:CALENDAR=US&amp;VAR:SYMBOL=14912310&amp;VAR:INDEX=6"}</definedName>
    <definedName name="_42__FDSAUDITLINK__">{"fdsup://directions/FAT Viewer?action=UPDATE&amp;creator=factset&amp;DYN_ARGS=TRUE&amp;DOC_NAME=FAT:FQL_AUDITING_CLIENT_TEMPLATE.FAT&amp;display_string=Audit&amp;VAR:KEY=RANAXINAFG&amp;VAR:QUERY=RkZfUkVDRUlWX1RVUk5fREFZUyhBTk4sLTksMCxZLFJQKSArIEZGX0lOVkVOX0RBWVMoQU5OLC05LDAsWSxSU","CkgLSBGRl9QQVlfVFVSTl9EQVlTKEFOTiwtOSwwLFksUlAp&amp;WINDOW=FIRST_POPUP&amp;HEIGHT=450&amp;WIDTH=450&amp;START_MAXIMIZED=FALSE&amp;VAR:CALENDAR=US&amp;VAR:SYMBOL=14912310&amp;VAR:INDEX=4"}</definedName>
    <definedName name="_420__FDSAUDITLINK__">{"fdsup://directions/FAT Viewer?action=UPDATE&amp;creator=factset&amp;DYN_ARGS=TRUE&amp;DOC_NAME=FAT:FQL_AUDITING_CLIENT_TEMPLATE.FAT&amp;display_string=Audit&amp;VAR:KEY=MDQVMBSXGP&amp;VAR:QUERY=RkZfREVCVF9MVChBTk4sLTksMCxZLFJQLExPQ0FMLE0p&amp;WINDOW=FIRST_POPUP&amp;HEIGHT=450&amp;WIDTH=450&amp;","START_MAXIMIZED=FALSE&amp;VAR:CALENDAR=US&amp;VAR:SYMBOL=14912310&amp;VAR:INDEX=0"}</definedName>
    <definedName name="_421__FDSAUDITLINK__">{"fdsup://directions/FAT Viewer?action=UPDATE&amp;creator=factset&amp;DYN_ARGS=TRUE&amp;DOC_NAME=FAT:FQL_AUDITING_CLIENT_TEMPLATE.FAT&amp;display_string=Audit&amp;VAR:KEY=UDIFENMPUT&amp;VAR:QUERY=RkZfU0dBKEFOTiwtOSwwLFksUlAsTE9DQUwsTSk=&amp;WINDOW=FIRST_POPUP&amp;HEIGHT=450&amp;WIDTH=450&amp;STAR","T_MAXIMIZED=FALSE&amp;VAR:CALENDAR=US&amp;VAR:SYMBOL=14912310&amp;VAR:INDEX=4"}</definedName>
    <definedName name="_422__FDSAUDITLINK__">{"fdsup://directions/FAT Viewer?action=UPDATE&amp;creator=factset&amp;DYN_ARGS=TRUE&amp;DOC_NAME=FAT:FQL_AUDITING_CLIENT_TEMPLATE.FAT&amp;display_string=Audit&amp;VAR:KEY=QLAZSHMHUZ&amp;VAR:QUERY=RkZfTElBQlNfQ1VSUl9NSVNDKEFOTiwtOSwwLFksUlAsTE9DQUwsTSk=&amp;WINDOW=FIRST_POPUP&amp;HEIGHT=45","0&amp;WIDTH=450&amp;START_MAXIMIZED=FALSE&amp;VAR:CALENDAR=US&amp;VAR:SYMBOL=14912310&amp;VAR:INDEX=0"}</definedName>
    <definedName name="_423__FDSAUDITLINK__">{"fdsup://directions/FAT Viewer?action=UPDATE&amp;creator=factset&amp;DYN_ARGS=TRUE&amp;DOC_NAME=FAT:FQL_AUDITING_CLIENT_TEMPLATE.FAT&amp;display_string=Audit&amp;VAR:KEY=UDIFENMPUT&amp;VAR:QUERY=RkZfU0dBKEFOTiwtOSwwLFksUlAsTE9DQUwsTSk=&amp;WINDOW=FIRST_POPUP&amp;HEIGHT=450&amp;WIDTH=450&amp;STAR","T_MAXIMIZED=FALSE&amp;VAR:CALENDAR=US&amp;VAR:SYMBOL=14912310&amp;VAR:INDEX=2"}</definedName>
    <definedName name="_424__FDSAUDITLINK__">{"fdsup://directions/FAT Viewer?action=UPDATE&amp;creator=factset&amp;DYN_ARGS=TRUE&amp;DOC_NAME=FAT:FQL_AUDITING_CLIENT_TEMPLATE.FAT&amp;display_string=Audit&amp;VAR:KEY=UDIFENMPUT&amp;VAR:QUERY=RkZfU0dBKEFOTiwtOSwwLFksUlAsTE9DQUwsTSk=&amp;WINDOW=FIRST_POPUP&amp;HEIGHT=450&amp;WIDTH=450&amp;STAR","T_MAXIMIZED=FALSE&amp;VAR:CALENDAR=US&amp;VAR:SYMBOL=14912310&amp;VAR:INDEX=1"}</definedName>
    <definedName name="_425__FDSAUDITLINK__">{"fdsup://directions/FAT Viewer?action=UPDATE&amp;creator=factset&amp;DYN_ARGS=TRUE&amp;DOC_NAME=FAT:FQL_AUDITING_CLIENT_TEMPLATE.FAT&amp;display_string=Audit&amp;VAR:KEY=VQJGTAZSVQ&amp;VAR:QUERY=RkZfTElBQlNfQ1VSUl9PVEgoQU5OLC05LDAsWSxSUCxMT0NBTCxNKQ==&amp;WINDOW=FIRST_POPUP&amp;HEIGHT=45","0&amp;WIDTH=450&amp;START_MAXIMIZED=FALSE&amp;VAR:CALENDAR=US&amp;VAR:SYMBOL=14912310&amp;VAR:INDEX=0"}</definedName>
    <definedName name="_426__FDSAUDITLINK__">{"fdsup://directions/FAT Viewer?action=UPDATE&amp;creator=factset&amp;DYN_ARGS=TRUE&amp;DOC_NAME=FAT:FQL_AUDITING_CLIENT_TEMPLATE.FAT&amp;display_string=Audit&amp;VAR:KEY=LCNUDEHWTS&amp;VAR:QUERY=RkZfR1JPU1NfTUdOKEFOTiwtOSwwLFksUlAsTE9DQUwsTSk=&amp;WINDOW=FIRST_POPUP&amp;HEIGHT=450&amp;WIDTH=","450&amp;START_MAXIMIZED=FALSE&amp;VAR:CALENDAR=US&amp;VAR:SYMBOL=14912310&amp;VAR:INDEX=8"}</definedName>
    <definedName name="_427__FDSAUDITLINK__">{"fdsup://directions/FAT Viewer?action=UPDATE&amp;creator=factset&amp;DYN_ARGS=TRUE&amp;DOC_NAME=FAT:FQL_AUDITING_CLIENT_TEMPLATE.FAT&amp;display_string=Audit&amp;VAR:KEY=LCNUDEHWTS&amp;VAR:QUERY=RkZfR1JPU1NfTUdOKEFOTiwtOSwwLFksUlAsTE9DQUwsTSk=&amp;WINDOW=FIRST_POPUP&amp;HEIGHT=450&amp;WIDTH=","450&amp;START_MAXIMIZED=FALSE&amp;VAR:CALENDAR=US&amp;VAR:SYMBOL=14912310&amp;VAR:INDEX=7"}</definedName>
    <definedName name="_428__FDSAUDITLINK__">{"fdsup://directions/FAT Viewer?action=UPDATE&amp;creator=factset&amp;DYN_ARGS=TRUE&amp;DOC_NAME=FAT:FQL_AUDITING_CLIENT_TEMPLATE.FAT&amp;display_string=Audit&amp;VAR:KEY=LCNUDEHWTS&amp;VAR:QUERY=RkZfR1JPU1NfTUdOKEFOTiwtOSwwLFksUlAsTE9DQUwsTSk=&amp;WINDOW=FIRST_POPUP&amp;HEIGHT=450&amp;WIDTH=","450&amp;START_MAXIMIZED=FALSE&amp;VAR:CALENDAR=US&amp;VAR:SYMBOL=14912310&amp;VAR:INDEX=6"}</definedName>
    <definedName name="_429__FDSAUDITLINK__">{"fdsup://directions/FAT Viewer?action=UPDATE&amp;creator=factset&amp;DYN_ARGS=TRUE&amp;DOC_NAME=FAT:FQL_AUDITING_CLIENT_TEMPLATE.FAT&amp;display_string=Audit&amp;VAR:KEY=LCNUDEHWTS&amp;VAR:QUERY=RkZfR1JPU1NfTUdOKEFOTiwtOSwwLFksUlAsTE9DQUwsTSk=&amp;WINDOW=FIRST_POPUP&amp;HEIGHT=450&amp;WIDTH=","450&amp;START_MAXIMIZED=FALSE&amp;VAR:CALENDAR=US&amp;VAR:SYMBOL=14912310&amp;VAR:INDEX=5"}</definedName>
    <definedName name="_43__FDSAUDITLINK__">{"fdsup://directions/FAT Viewer?action=UPDATE&amp;creator=factset&amp;DYN_ARGS=TRUE&amp;DOC_NAME=FAT:FQL_AUDITING_CLIENT_TEMPLATE.FAT&amp;display_string=Audit&amp;VAR:KEY=RANAXINAFG&amp;VAR:QUERY=RkZfUkVDRUlWX1RVUk5fREFZUyhBTk4sLTksMCxZLFJQKSArIEZGX0lOVkVOX0RBWVMoQU5OLC05LDAsWSxSU","CkgLSBGRl9QQVlfVFVSTl9EQVlTKEFOTiwtOSwwLFksUlAp&amp;WINDOW=FIRST_POPUP&amp;HEIGHT=450&amp;WIDTH=450&amp;START_MAXIMIZED=FALSE&amp;VAR:CALENDAR=US&amp;VAR:SYMBOL=14912310&amp;VAR:INDEX=3"}</definedName>
    <definedName name="_430__FDSAUDITLINK__">{"fdsup://directions/FAT Viewer?action=UPDATE&amp;creator=factset&amp;DYN_ARGS=TRUE&amp;DOC_NAME=FAT:FQL_AUDITING_CLIENT_TEMPLATE.FAT&amp;display_string=Audit&amp;VAR:KEY=LCNUDEHWTS&amp;VAR:QUERY=RkZfR1JPU1NfTUdOKEFOTiwtOSwwLFksUlAsTE9DQUwsTSk=&amp;WINDOW=FIRST_POPUP&amp;HEIGHT=450&amp;WIDTH=","450&amp;START_MAXIMIZED=FALSE&amp;VAR:CALENDAR=US&amp;VAR:SYMBOL=14912310&amp;VAR:INDEX=4"}</definedName>
    <definedName name="_431__FDSAUDITLINK__">{"fdsup://directions/FAT Viewer?action=UPDATE&amp;creator=factset&amp;DYN_ARGS=TRUE&amp;DOC_NAME=FAT:FQL_AUDITING_CLIENT_TEMPLATE.FAT&amp;display_string=Audit&amp;VAR:KEY=ERGBARQNCX&amp;VAR:QUERY=RkZfQVNTRVRTX09USChBTk4sLTksMCxZLFJQLExPQ0FMLE0p&amp;WINDOW=FIRST_POPUP&amp;HEIGHT=450&amp;WIDTH=","450&amp;START_MAXIMIZED=FALSE&amp;VAR:CALENDAR=US&amp;VAR:SYMBOL=14912310&amp;VAR:INDEX=0"}</definedName>
    <definedName name="_432__FDSAUDITLINK__">{"fdsup://directions/FAT Viewer?action=UPDATE&amp;creator=factset&amp;DYN_ARGS=TRUE&amp;DOC_NAME=FAT:FQL_AUDITING_CLIENT_TEMPLATE.FAT&amp;display_string=Audit&amp;VAR:KEY=LCNUDEHWTS&amp;VAR:QUERY=RkZfR1JPU1NfTUdOKEFOTiwtOSwwLFksUlAsTE9DQUwsTSk=&amp;WINDOW=FIRST_POPUP&amp;HEIGHT=450&amp;WIDTH=","450&amp;START_MAXIMIZED=FALSE&amp;VAR:CALENDAR=US&amp;VAR:SYMBOL=14912310&amp;VAR:INDEX=2"}</definedName>
    <definedName name="_433__FDSAUDITLINK__">{"fdsup://directions/FAT Viewer?action=UPDATE&amp;creator=factset&amp;DYN_ARGS=TRUE&amp;DOC_NAME=FAT:FQL_AUDITING_CLIENT_TEMPLATE.FAT&amp;display_string=Audit&amp;VAR:KEY=GLITAHGHCD&amp;VAR:QUERY=RkZfSU5UQU5HX09USChBTk4sLTksMCxZLFJQLExPQ0FMLE0p&amp;WINDOW=FIRST_POPUP&amp;HEIGHT=450&amp;WIDTH=","450&amp;START_MAXIMIZED=FALSE&amp;VAR:CALENDAR=US&amp;VAR:SYMBOL=14912310&amp;VAR:INDEX=0"}</definedName>
    <definedName name="_434__FDSAUDITLINK__">{"fdsup://directions/FAT Viewer?action=UPDATE&amp;creator=factset&amp;DYN_ARGS=TRUE&amp;DOC_NAME=FAT:FQL_AUDITING_CLIENT_TEMPLATE.FAT&amp;display_string=Audit&amp;VAR:KEY=UJCFKFENYH&amp;VAR:QUERY=UENUQ0hHKEZGX0dST1NTX0lOQyhBTk4sLTksMCxZLFJQLExPQ0FMLE0pLEZGX0dST1NTX0lOQyhBTk4sLTEsL","TkgLSAxLFksUlAsTE9DQUwsTSkp&amp;WINDOW=FIRST_POPUP&amp;HEIGHT=450&amp;WIDTH=450&amp;START_MAXIMIZED=FALSE&amp;VAR:CALENDAR=US&amp;VAR:SYMBOL=14912310&amp;VAR:INDEX=9"}</definedName>
    <definedName name="_435__FDSAUDITLINK__">{"fdsup://directions/FAT Viewer?action=UPDATE&amp;creator=factset&amp;DYN_ARGS=TRUE&amp;DOC_NAME=FAT:FQL_AUDITING_CLIENT_TEMPLATE.FAT&amp;display_string=Audit&amp;VAR:KEY=UJCFKFENYH&amp;VAR:QUERY=UENUQ0hHKEZGX0dST1NTX0lOQyhBTk4sLTksMCxZLFJQLExPQ0FMLE0pLEZGX0dST1NTX0lOQyhBTk4sLTEsL","TkgLSAxLFksUlAsTE9DQUwsTSkp&amp;WINDOW=FIRST_POPUP&amp;HEIGHT=450&amp;WIDTH=450&amp;START_MAXIMIZED=FALSE&amp;VAR:CALENDAR=US&amp;VAR:SYMBOL=14912310&amp;VAR:INDEX=8"}</definedName>
    <definedName name="_436__FDSAUDITLINK__">{"fdsup://directions/FAT Viewer?action=UPDATE&amp;creator=factset&amp;DYN_ARGS=TRUE&amp;DOC_NAME=FAT:FQL_AUDITING_CLIENT_TEMPLATE.FAT&amp;display_string=Audit&amp;VAR:KEY=UJCFKFENYH&amp;VAR:QUERY=UENUQ0hHKEZGX0dST1NTX0lOQyhBTk4sLTksMCxZLFJQLExPQ0FMLE0pLEZGX0dST1NTX0lOQyhBTk4sLTEsL","TkgLSAxLFksUlAsTE9DQUwsTSkp&amp;WINDOW=FIRST_POPUP&amp;HEIGHT=450&amp;WIDTH=450&amp;START_MAXIMIZED=FALSE&amp;VAR:CALENDAR=US&amp;VAR:SYMBOL=14912310&amp;VAR:INDEX=7"}</definedName>
    <definedName name="_437__FDSAUDITLINK__">{"fdsup://directions/FAT Viewer?action=UPDATE&amp;creator=factset&amp;DYN_ARGS=TRUE&amp;DOC_NAME=FAT:FQL_AUDITING_CLIENT_TEMPLATE.FAT&amp;display_string=Audit&amp;VAR:KEY=UJCFKFENYH&amp;VAR:QUERY=UENUQ0hHKEZGX0dST1NTX0lOQyhBTk4sLTksMCxZLFJQLExPQ0FMLE0pLEZGX0dST1NTX0lOQyhBTk4sLTEsL","TkgLSAxLFksUlAsTE9DQUwsTSkp&amp;WINDOW=FIRST_POPUP&amp;HEIGHT=450&amp;WIDTH=450&amp;START_MAXIMIZED=FALSE&amp;VAR:CALENDAR=US&amp;VAR:SYMBOL=14912310&amp;VAR:INDEX=6"}</definedName>
    <definedName name="_438__FDSAUDITLINK__">{"fdsup://directions/FAT Viewer?action=UPDATE&amp;creator=factset&amp;DYN_ARGS=TRUE&amp;DOC_NAME=FAT:FQL_AUDITING_CLIENT_TEMPLATE.FAT&amp;display_string=Audit&amp;VAR:KEY=IVSXSFOTUT&amp;VAR:QUERY=RkZfSU5WRVNUX0FEVihBTk4sLTksMCxZLFJQLExPQ0FMLE0p&amp;WINDOW=FIRST_POPUP&amp;HEIGHT=450&amp;WIDTH=","450&amp;START_MAXIMIZED=FALSE&amp;VAR:CALENDAR=US&amp;VAR:SYMBOL=14912310&amp;VAR:INDEX=0"}</definedName>
    <definedName name="_439__FDSAUDITLINK__">{"fdsup://directions/FAT Viewer?action=UPDATE&amp;creator=factset&amp;DYN_ARGS=TRUE&amp;DOC_NAME=FAT:FQL_AUDITING_CLIENT_TEMPLATE.FAT&amp;display_string=Audit&amp;VAR:KEY=UJCFKFENYH&amp;VAR:QUERY=UENUQ0hHKEZGX0dST1NTX0lOQyhBTk4sLTksMCxZLFJQLExPQ0FMLE0pLEZGX0dST1NTX0lOQyhBTk4sLTEsL","TkgLSAxLFksUlAsTE9DQUwsTSkp&amp;WINDOW=FIRST_POPUP&amp;HEIGHT=450&amp;WIDTH=450&amp;START_MAXIMIZED=FALSE&amp;VAR:CALENDAR=US&amp;VAR:SYMBOL=14912310&amp;VAR:INDEX=4"}</definedName>
    <definedName name="_44__FDSAUDITLINK__">{"fdsup://directions/FAT Viewer?action=UPDATE&amp;creator=factset&amp;DYN_ARGS=TRUE&amp;DOC_NAME=FAT:FQL_AUDITING_CLIENT_TEMPLATE.FAT&amp;display_string=Audit&amp;VAR:KEY=RANAXINAFG&amp;VAR:QUERY=RkZfUkVDRUlWX1RVUk5fREFZUyhBTk4sLTksMCxZLFJQKSArIEZGX0lOVkVOX0RBWVMoQU5OLC05LDAsWSxSU","CkgLSBGRl9QQVlfVFVSTl9EQVlTKEFOTiwtOSwwLFksUlAp&amp;WINDOW=FIRST_POPUP&amp;HEIGHT=450&amp;WIDTH=450&amp;START_MAXIMIZED=FALSE&amp;VAR:CALENDAR=US&amp;VAR:SYMBOL=14912310&amp;VAR:INDEX=2"}</definedName>
    <definedName name="_440__FDSAUDITLINK__">{"fdsup://directions/FAT Viewer?action=UPDATE&amp;creator=factset&amp;DYN_ARGS=TRUE&amp;DOC_NAME=FAT:FQL_AUDITING_CLIENT_TEMPLATE.FAT&amp;display_string=Audit&amp;VAR:KEY=UJCFKFENYH&amp;VAR:QUERY=UENUQ0hHKEZGX0dST1NTX0lOQyhBTk4sLTksMCxZLFJQLExPQ0FMLE0pLEZGX0dST1NTX0lOQyhBTk4sLTEsL","TkgLSAxLFksUlAsTE9DQUwsTSkp&amp;WINDOW=FIRST_POPUP&amp;HEIGHT=450&amp;WIDTH=450&amp;START_MAXIMIZED=FALSE&amp;VAR:CALENDAR=US&amp;VAR:SYMBOL=14912310&amp;VAR:INDEX=3"}</definedName>
    <definedName name="_441__FDSAUDITLINK__">{"fdsup://directions/FAT Viewer?action=UPDATE&amp;creator=factset&amp;DYN_ARGS=TRUE&amp;DOC_NAME=FAT:FQL_AUDITING_CLIENT_TEMPLATE.FAT&amp;display_string=Audit&amp;VAR:KEY=UJCFKFENYH&amp;VAR:QUERY=UENUQ0hHKEZGX0dST1NTX0lOQyhBTk4sLTksMCxZLFJQLExPQ0FMLE0pLEZGX0dST1NTX0lOQyhBTk4sLTEsL","TkgLSAxLFksUlAsTE9DQUwsTSkp&amp;WINDOW=FIRST_POPUP&amp;HEIGHT=450&amp;WIDTH=450&amp;START_MAXIMIZED=FALSE&amp;VAR:CALENDAR=US&amp;VAR:SYMBOL=14912310&amp;VAR:INDEX=2"}</definedName>
    <definedName name="_442__FDSAUDITLINK__">{"fdsup://directions/FAT Viewer?action=UPDATE&amp;creator=factset&amp;DYN_ARGS=TRUE&amp;DOC_NAME=FAT:FQL_AUDITING_CLIENT_TEMPLATE.FAT&amp;display_string=Audit&amp;VAR:KEY=UJCFKFENYH&amp;VAR:QUERY=UENUQ0hHKEZGX0dST1NTX0lOQyhBTk4sLTksMCxZLFJQLExPQ0FMLE0pLEZGX0dST1NTX0lOQyhBTk4sLTEsL","TkgLSAxLFksUlAsTE9DQUwsTSkp&amp;WINDOW=FIRST_POPUP&amp;HEIGHT=450&amp;WIDTH=450&amp;START_MAXIMIZED=FALSE&amp;VAR:CALENDAR=US&amp;VAR:SYMBOL=14912310&amp;VAR:INDEX=1"}</definedName>
    <definedName name="_443__FDSAUDITLINK__">{"fdsup://directions/FAT Viewer?action=UPDATE&amp;creator=factset&amp;DYN_ARGS=TRUE&amp;DOC_NAME=FAT:FQL_AUDITING_CLIENT_TEMPLATE.FAT&amp;display_string=Audit&amp;VAR:KEY=XWTMJGBAPG&amp;VAR:QUERY=RkZfR1JPU1NfSU5DKEFOTiwtOSwwLFksUlAsTE9DQUwsTSk=&amp;WINDOW=FIRST_POPUP&amp;HEIGHT=450&amp;WIDTH=","450&amp;START_MAXIMIZED=FALSE&amp;VAR:CALENDAR=US&amp;VAR:SYMBOL=14912310&amp;VAR:INDEX=9"}</definedName>
    <definedName name="_444__FDSAUDITLINK__">{"fdsup://directions/FAT Viewer?action=UPDATE&amp;creator=factset&amp;DYN_ARGS=TRUE&amp;DOC_NAME=FAT:FQL_AUDITING_CLIENT_TEMPLATE.FAT&amp;display_string=Audit&amp;VAR:KEY=XWTMJGBAPG&amp;VAR:QUERY=RkZfR1JPU1NfSU5DKEFOTiwtOSwwLFksUlAsTE9DQUwsTSk=&amp;WINDOW=FIRST_POPUP&amp;HEIGHT=450&amp;WIDTH=","450&amp;START_MAXIMIZED=FALSE&amp;VAR:CALENDAR=US&amp;VAR:SYMBOL=14912310&amp;VAR:INDEX=8"}</definedName>
    <definedName name="_445__FDSAUDITLINK__">{"fdsup://directions/FAT Viewer?action=UPDATE&amp;creator=factset&amp;DYN_ARGS=TRUE&amp;DOC_NAME=FAT:FQL_AUDITING_CLIENT_TEMPLATE.FAT&amp;display_string=Audit&amp;VAR:KEY=XWTMJGBAPG&amp;VAR:QUERY=RkZfR1JPU1NfSU5DKEFOTiwtOSwwLFksUlAsTE9DQUwsTSk=&amp;WINDOW=FIRST_POPUP&amp;HEIGHT=450&amp;WIDTH=","450&amp;START_MAXIMIZED=FALSE&amp;VAR:CALENDAR=US&amp;VAR:SYMBOL=14912310&amp;VAR:INDEX=7"}</definedName>
    <definedName name="_446__FDSAUDITLINK__">{"fdsup://directions/FAT Viewer?action=UPDATE&amp;creator=factset&amp;DYN_ARGS=TRUE&amp;DOC_NAME=FAT:FQL_AUDITING_CLIENT_TEMPLATE.FAT&amp;display_string=Audit&amp;VAR:KEY=XWTMJGBAPG&amp;VAR:QUERY=RkZfR1JPU1NfSU5DKEFOTiwtOSwwLFksUlAsTE9DQUwsTSk=&amp;WINDOW=FIRST_POPUP&amp;HEIGHT=450&amp;WIDTH=","450&amp;START_MAXIMIZED=FALSE&amp;VAR:CALENDAR=US&amp;VAR:SYMBOL=14912310&amp;VAR:INDEX=6"}</definedName>
    <definedName name="_447__FDSAUDITLINK__">{"fdsup://directions/FAT Viewer?action=UPDATE&amp;creator=factset&amp;DYN_ARGS=TRUE&amp;DOC_NAME=FAT:FQL_AUDITING_CLIENT_TEMPLATE.FAT&amp;display_string=Audit&amp;VAR:KEY=XWTMJGBAPG&amp;VAR:QUERY=RkZfR1JPU1NfSU5DKEFOTiwtOSwwLFksUlAsTE9DQUwsTSk=&amp;WINDOW=FIRST_POPUP&amp;HEIGHT=450&amp;WIDTH=","450&amp;START_MAXIMIZED=FALSE&amp;VAR:CALENDAR=US&amp;VAR:SYMBOL=14912310&amp;VAR:INDEX=5"}</definedName>
    <definedName name="_448__FDSAUDITLINK__">{"fdsup://directions/FAT Viewer?action=UPDATE&amp;creator=factset&amp;DYN_ARGS=TRUE&amp;DOC_NAME=FAT:FQL_AUDITING_CLIENT_TEMPLATE.FAT&amp;display_string=Audit&amp;VAR:KEY=XWTMJGBAPG&amp;VAR:QUERY=RkZfR1JPU1NfSU5DKEFOTiwtOSwwLFksUlAsTE9DQUwsTSk=&amp;WINDOW=FIRST_POPUP&amp;HEIGHT=450&amp;WIDTH=","450&amp;START_MAXIMIZED=FALSE&amp;VAR:CALENDAR=US&amp;VAR:SYMBOL=14912310&amp;VAR:INDEX=4"}</definedName>
    <definedName name="_449__FDSAUDITLINK__">{"fdsup://directions/FAT Viewer?action=UPDATE&amp;creator=factset&amp;DYN_ARGS=TRUE&amp;DOC_NAME=FAT:FQL_AUDITING_CLIENT_TEMPLATE.FAT&amp;display_string=Audit&amp;VAR:KEY=SRSNSNKJQF&amp;VAR:QUERY=RkZfQVNTRVRTX0NVUlJfT1RIKEFOTiwtOSwwLFksUlAsTE9DQUwsTSk=&amp;WINDOW=FIRST_POPUP&amp;HEIGHT=45","0&amp;WIDTH=450&amp;START_MAXIMIZED=FALSE&amp;VAR:CALENDAR=US&amp;VAR:SYMBOL=14912310&amp;VAR:INDEX=0"}</definedName>
    <definedName name="_45__FDSAUDITLINK__">{"fdsup://directions/FAT Viewer?action=UPDATE&amp;creator=factset&amp;DYN_ARGS=TRUE&amp;DOC_NAME=FAT:FQL_AUDITING_CLIENT_TEMPLATE.FAT&amp;display_string=Audit&amp;VAR:KEY=RANAXINAFG&amp;VAR:QUERY=RkZfUkVDRUlWX1RVUk5fREFZUyhBTk4sLTksMCxZLFJQKSArIEZGX0lOVkVOX0RBWVMoQU5OLC05LDAsWSxSU","CkgLSBGRl9QQVlfVFVSTl9EQVlTKEFOTiwtOSwwLFksUlAp&amp;WINDOW=FIRST_POPUP&amp;HEIGHT=450&amp;WIDTH=450&amp;START_MAXIMIZED=FALSE&amp;VAR:CALENDAR=US&amp;VAR:SYMBOL=14912310&amp;VAR:INDEX=1"}</definedName>
    <definedName name="_450__FDSAUDITLINK__">{"fdsup://directions/FAT Viewer?action=UPDATE&amp;creator=factset&amp;DYN_ARGS=TRUE&amp;DOC_NAME=FAT:FQL_AUDITING_CLIENT_TEMPLATE.FAT&amp;display_string=Audit&amp;VAR:KEY=XWTMJGBAPG&amp;VAR:QUERY=RkZfR1JPU1NfSU5DKEFOTiwtOSwwLFksUlAsTE9DQUwsTSk=&amp;WINDOW=FIRST_POPUP&amp;HEIGHT=450&amp;WIDTH=","450&amp;START_MAXIMIZED=FALSE&amp;VAR:CALENDAR=US&amp;VAR:SYMBOL=14912310&amp;VAR:INDEX=2"}</definedName>
    <definedName name="_451__FDSAUDITLINK__">{"fdsup://directions/FAT Viewer?action=UPDATE&amp;creator=factset&amp;DYN_ARGS=TRUE&amp;DOC_NAME=FAT:FQL_AUDITING_CLIENT_TEMPLATE.FAT&amp;display_string=Audit&amp;VAR:KEY=XWTMJGBAPG&amp;VAR:QUERY=RkZfR1JPU1NfSU5DKEFOTiwtOSwwLFksUlAsTE9DQUwsTSk=&amp;WINDOW=FIRST_POPUP&amp;HEIGHT=450&amp;WIDTH=","450&amp;START_MAXIMIZED=FALSE&amp;VAR:CALENDAR=US&amp;VAR:SYMBOL=14912310&amp;VAR:INDEX=1"}</definedName>
    <definedName name="_452__FDSAUDITLINK__">{"fdsup://directions/FAT Viewer?action=UPDATE&amp;creator=factset&amp;DYN_ARGS=TRUE&amp;DOC_NAME=FAT:FQL_AUDITING_CLIENT_TEMPLATE.FAT&amp;display_string=Audit&amp;VAR:KEY=QREVWLSHMX&amp;VAR:QUERY=UENUQ0hHKEZGX0NPR1MoQU5OLC05LDAsWSxSUCxMT0NBTCxNKSxGRl9DT0dTKEFOTiwtMSwtOSAtIDEsWSxSU","CxMT0NBTCxNKSk=&amp;WINDOW=FIRST_POPUP&amp;HEIGHT=450&amp;WIDTH=450&amp;START_MAXIMIZED=FALSE&amp;VAR:CALENDAR=US&amp;VAR:SYMBOL=14912310&amp;VAR:INDEX=9"}</definedName>
    <definedName name="_453__FDSAUDITLINK__">{"fdsup://directions/FAT Viewer?action=UPDATE&amp;creator=factset&amp;DYN_ARGS=TRUE&amp;DOC_NAME=FAT:FQL_AUDITING_CLIENT_TEMPLATE.FAT&amp;display_string=Audit&amp;VAR:KEY=QREVWLSHMX&amp;VAR:QUERY=UENUQ0hHKEZGX0NPR1MoQU5OLC05LDAsWSxSUCxMT0NBTCxNKSxGRl9DT0dTKEFOTiwtMSwtOSAtIDEsWSxSU","CxMT0NBTCxNKSk=&amp;WINDOW=FIRST_POPUP&amp;HEIGHT=450&amp;WIDTH=450&amp;START_MAXIMIZED=FALSE&amp;VAR:CALENDAR=US&amp;VAR:SYMBOL=14912310&amp;VAR:INDEX=8"}</definedName>
    <definedName name="_454__FDSAUDITLINK__">{"fdsup://directions/FAT Viewer?action=UPDATE&amp;creator=factset&amp;DYN_ARGS=TRUE&amp;DOC_NAME=FAT:FQL_AUDITING_CLIENT_TEMPLATE.FAT&amp;display_string=Audit&amp;VAR:KEY=MZYDOZOXGR&amp;VAR:QUERY=RkZfUkVDRUlWX1NUX09USChBTk4sLTksMCxZLFJQLExPQ0FMLE0p&amp;WINDOW=FIRST_POPUP&amp;HEIGHT=450&amp;WI","DTH=450&amp;START_MAXIMIZED=FALSE&amp;VAR:CALENDAR=US&amp;VAR:SYMBOL=14912310&amp;VAR:INDEX=0"}</definedName>
    <definedName name="_455__FDSAUDITLINK__">{"fdsup://directions/FAT Viewer?action=UPDATE&amp;creator=factset&amp;DYN_ARGS=TRUE&amp;DOC_NAME=FAT:FQL_AUDITING_CLIENT_TEMPLATE.FAT&amp;display_string=Audit&amp;VAR:KEY=QROVEDABUH&amp;VAR:QUERY=RkZfUkVDRUlWX0dST1NTKEFOTiwtOSwwLFksUlAsTE9DQUwsTSk=&amp;WINDOW=FIRST_POPUP&amp;HEIGHT=450&amp;WI","DTH=450&amp;START_MAXIMIZED=FALSE&amp;VAR:CALENDAR=US&amp;VAR:SYMBOL=14912310&amp;VAR:INDEX=0"}</definedName>
    <definedName name="_456__FDSAUDITLINK__">{"fdsup://directions/FAT Viewer?action=UPDATE&amp;creator=factset&amp;DYN_ARGS=TRUE&amp;DOC_NAME=FAT:FQL_AUDITING_CLIENT_TEMPLATE.FAT&amp;display_string=Audit&amp;VAR:KEY=QREVWLSHMX&amp;VAR:QUERY=UENUQ0hHKEZGX0NPR1MoQU5OLC05LDAsWSxSUCxMT0NBTCxNKSxGRl9DT0dTKEFOTiwtMSwtOSAtIDEsWSxSU","CxMT0NBTCxNKSk=&amp;WINDOW=FIRST_POPUP&amp;HEIGHT=450&amp;WIDTH=450&amp;START_MAXIMIZED=FALSE&amp;VAR:CALENDAR=US&amp;VAR:SYMBOL=14912310&amp;VAR:INDEX=5"}</definedName>
    <definedName name="_457__FDSAUDITLINK__">{"fdsup://directions/FAT Viewer?action=UPDATE&amp;creator=factset&amp;DYN_ARGS=TRUE&amp;DOC_NAME=FAT:FQL_AUDITING_CLIENT_TEMPLATE.FAT&amp;display_string=Audit&amp;VAR:KEY=QREVWLSHMX&amp;VAR:QUERY=UENUQ0hHKEZGX0NPR1MoQU5OLC05LDAsWSxSUCxMT0NBTCxNKSxGRl9DT0dTKEFOTiwtMSwtOSAtIDEsWSxSU","CxMT0NBTCxNKSk=&amp;WINDOW=FIRST_POPUP&amp;HEIGHT=450&amp;WIDTH=450&amp;START_MAXIMIZED=FALSE&amp;VAR:CALENDAR=US&amp;VAR:SYMBOL=14912310&amp;VAR:INDEX=4"}</definedName>
    <definedName name="_458__FDSAUDITLINK__">{"fdsup://directions/FAT Viewer?action=UPDATE&amp;creator=factset&amp;DYN_ARGS=TRUE&amp;DOC_NAME=FAT:FQL_AUDITING_CLIENT_TEMPLATE.FAT&amp;display_string=Audit&amp;VAR:KEY=QREVWLSHMX&amp;VAR:QUERY=UENUQ0hHKEZGX0NPR1MoQU5OLC05LDAsWSxSUCxMT0NBTCxNKSxGRl9DT0dTKEFOTiwtMSwtOSAtIDEsWSxSU","CxMT0NBTCxNKSk=&amp;WINDOW=FIRST_POPUP&amp;HEIGHT=450&amp;WIDTH=450&amp;START_MAXIMIZED=FALSE&amp;VAR:CALENDAR=US&amp;VAR:SYMBOL=14912310&amp;VAR:INDEX=3"}</definedName>
    <definedName name="_459__FDSAUDITLINK__">{"fdsup://directions/FAT Viewer?action=UPDATE&amp;creator=factset&amp;DYN_ARGS=TRUE&amp;DOC_NAME=FAT:FQL_AUDITING_CLIENT_TEMPLATE.FAT&amp;display_string=Audit&amp;VAR:KEY=QREVWLSHMX&amp;VAR:QUERY=UENUQ0hHKEZGX0NPR1MoQU5OLC05LDAsWSxSUCxMT0NBTCxNKSxGRl9DT0dTKEFOTiwtMSwtOSAtIDEsWSxSU","CxMT0NBTCxNKSk=&amp;WINDOW=FIRST_POPUP&amp;HEIGHT=450&amp;WIDTH=450&amp;START_MAXIMIZED=FALSE&amp;VAR:CALENDAR=US&amp;VAR:SYMBOL=14912310&amp;VAR:INDEX=2"}</definedName>
    <definedName name="_46__FDSAUDITLINK__">{"fdsup://directions/FAT Viewer?action=UPDATE&amp;creator=factset&amp;DYN_ARGS=TRUE&amp;DOC_NAME=FAT:FQL_AUDITING_CLIENT_TEMPLATE.FAT&amp;display_string=Audit&amp;VAR:KEY=REPQFWZKVK&amp;VAR:QUERY=RkZfRVFfVE9UKEFOTiwtOSwwLFksUlAsTE9DQUwsTSk=&amp;WINDOW=FIRST_POPUP&amp;HEIGHT=450&amp;WIDTH=450&amp;","START_MAXIMIZED=FALSE&amp;VAR:CALENDAR=US&amp;VAR:SYMBOL=14912310&amp;VAR:INDEX=9"}</definedName>
    <definedName name="_460__FDSAUDITLINK__">{"fdsup://directions/FAT Viewer?action=UPDATE&amp;creator=factset&amp;DYN_ARGS=TRUE&amp;DOC_NAME=FAT:FQL_AUDITING_CLIENT_TEMPLATE.FAT&amp;display_string=Audit&amp;VAR:KEY=QREVWLSHMX&amp;VAR:QUERY=UENUQ0hHKEZGX0NPR1MoQU5OLC05LDAsWSxSUCxMT0NBTCxNKSxGRl9DT0dTKEFOTiwtMSwtOSAtIDEsWSxSU","CxMT0NBTCxNKSk=&amp;WINDOW=FIRST_POPUP&amp;HEIGHT=450&amp;WIDTH=450&amp;START_MAXIMIZED=FALSE&amp;VAR:CALENDAR=US&amp;VAR:SYMBOL=14912310&amp;VAR:INDEX=1"}</definedName>
    <definedName name="_461__FDSAUDITLINK__">{"fdsup://Directions/FactSet Auditing Viewer?action=AUDIT_VALUE&amp;DB=129&amp;ID1=14912310&amp;VALUEID=01149&amp;SDATE=2009&amp;PERIODTYPE=ANN_STD&amp;SCFT=3&amp;window=popup_no_bar&amp;width=385&amp;height=120&amp;START_MAXIMIZED=FALSE&amp;creator=factset&amp;display_string=Audit"}</definedName>
    <definedName name="_462__FDSAUDITLINK__">{"fdsup://Directions/FactSet Auditing Viewer?action=AUDIT_VALUE&amp;DB=129&amp;ID1=14912310&amp;VALUEID=01149&amp;SDATE=2008&amp;PERIODTYPE=ANN_STD&amp;SCFT=3&amp;window=popup_no_bar&amp;width=385&amp;height=120&amp;START_MAXIMIZED=FALSE&amp;creator=factset&amp;display_string=Audit"}</definedName>
    <definedName name="_463__FDSAUDITLINK__">{"fdsup://Directions/FactSet Auditing Viewer?action=AUDIT_VALUE&amp;DB=129&amp;ID1=14912310&amp;VALUEID=01149&amp;SDATE=2007&amp;PERIODTYPE=ANN_STD&amp;SCFT=3&amp;window=popup_no_bar&amp;width=385&amp;height=120&amp;START_MAXIMIZED=FALSE&amp;creator=factset&amp;display_string=Audit"}</definedName>
    <definedName name="_464__FDSAUDITLINK__">{"fdsup://Directions/FactSet Auditing Viewer?action=AUDIT_VALUE&amp;DB=129&amp;ID1=14912310&amp;VALUEID=01149&amp;SDATE=2006&amp;PERIODTYPE=ANN_STD&amp;SCFT=3&amp;window=popup_no_bar&amp;width=385&amp;height=120&amp;START_MAXIMIZED=FALSE&amp;creator=factset&amp;display_string=Audit"}</definedName>
    <definedName name="_465__FDSAUDITLINK__">{"fdsup://Directions/FactSet Auditing Viewer?action=AUDIT_VALUE&amp;DB=129&amp;ID1=14912310&amp;VALUEID=01149&amp;SDATE=2005&amp;PERIODTYPE=ANN_STD&amp;SCFT=3&amp;window=popup_no_bar&amp;width=385&amp;height=120&amp;START_MAXIMIZED=FALSE&amp;creator=factset&amp;display_string=Audit"}</definedName>
    <definedName name="_466__FDSAUDITLINK__">{"fdsup://Directions/FactSet Auditing Viewer?action=AUDIT_VALUE&amp;DB=129&amp;ID1=14912310&amp;VALUEID=01149&amp;SDATE=2004&amp;PERIODTYPE=ANN_STD&amp;SCFT=3&amp;window=popup_no_bar&amp;width=385&amp;height=120&amp;START_MAXIMIZED=FALSE&amp;creator=factset&amp;display_string=Audit"}</definedName>
    <definedName name="_467__FDSAUDITLINK__">{"fdsup://Directions/FactSet Auditing Viewer?action=AUDIT_VALUE&amp;DB=129&amp;ID1=14912310&amp;VALUEID=01149&amp;SDATE=2010&amp;PERIODTYPE=ANN_STD&amp;SCFT=3&amp;window=popup_no_bar&amp;width=385&amp;height=120&amp;START_MAXIMIZED=FALSE&amp;creator=factset&amp;display_string=Audit"}</definedName>
    <definedName name="_468__FDSAUDITLINK__">{"fdsup://Directions/FactSet Auditing Viewer?action=AUDIT_VALUE&amp;DB=129&amp;ID1=14912310&amp;VALUEID=01148&amp;SDATE=2009&amp;PERIODTYPE=ANN_STD&amp;SCFT=3&amp;window=popup_no_bar&amp;width=385&amp;height=120&amp;START_MAXIMIZED=FALSE&amp;creator=factset&amp;display_string=Audit"}</definedName>
    <definedName name="_469__FDSAUDITLINK__">{"fdsup://Directions/FactSet Auditing Viewer?action=AUDIT_VALUE&amp;DB=129&amp;ID1=14912310&amp;VALUEID=01148&amp;SDATE=2008&amp;PERIODTYPE=ANN_STD&amp;SCFT=3&amp;window=popup_no_bar&amp;width=385&amp;height=120&amp;START_MAXIMIZED=FALSE&amp;creator=factset&amp;display_string=Audit"}</definedName>
    <definedName name="_47__FDSAUDITLINK__">{"fdsup://directions/FAT Viewer?action=UPDATE&amp;creator=factset&amp;DYN_ARGS=TRUE&amp;DOC_NAME=FAT:FQL_AUDITING_CLIENT_TEMPLATE.FAT&amp;display_string=Audit&amp;VAR:KEY=REPQFWZKVK&amp;VAR:QUERY=RkZfRVFfVE9UKEFOTiwtOSwwLFksUlAsTE9DQUwsTSk=&amp;WINDOW=FIRST_POPUP&amp;HEIGHT=450&amp;WIDTH=450&amp;","START_MAXIMIZED=FALSE&amp;VAR:CALENDAR=US&amp;VAR:SYMBOL=14912310&amp;VAR:INDEX=8"}</definedName>
    <definedName name="_470__FDSAUDITLINK__">{"fdsup://Directions/FactSet Auditing Viewer?action=AUDIT_VALUE&amp;DB=129&amp;ID1=14912310&amp;VALUEID=01148&amp;SDATE=2007&amp;PERIODTYPE=ANN_STD&amp;SCFT=3&amp;window=popup_no_bar&amp;width=385&amp;height=120&amp;START_MAXIMIZED=FALSE&amp;creator=factset&amp;display_string=Audit"}</definedName>
    <definedName name="_471__FDSAUDITLINK__">{"fdsup://Directions/FactSet Auditing Viewer?action=AUDIT_VALUE&amp;DB=129&amp;ID1=14912310&amp;VALUEID=01148&amp;SDATE=2006&amp;PERIODTYPE=ANN_STD&amp;SCFT=3&amp;window=popup_no_bar&amp;width=385&amp;height=120&amp;START_MAXIMIZED=FALSE&amp;creator=factset&amp;display_string=Audit"}</definedName>
    <definedName name="_472__FDSAUDITLINK__">{"fdsup://Directions/FactSet Auditing Viewer?action=AUDIT_VALUE&amp;DB=129&amp;ID1=14912310&amp;VALUEID=01148&amp;SDATE=2005&amp;PERIODTYPE=ANN_STD&amp;SCFT=3&amp;window=popup_no_bar&amp;width=385&amp;height=120&amp;START_MAXIMIZED=FALSE&amp;creator=factset&amp;display_string=Audit"}</definedName>
    <definedName name="_473__FDSAUDITLINK__">{"fdsup://Directions/FactSet Auditing Viewer?action=AUDIT_VALUE&amp;DB=129&amp;ID1=14912310&amp;VALUEID=01148&amp;SDATE=2004&amp;PERIODTYPE=ANN_STD&amp;SCFT=3&amp;window=popup_no_bar&amp;width=385&amp;height=120&amp;START_MAXIMIZED=FALSE&amp;creator=factset&amp;display_string=Audit"}</definedName>
    <definedName name="_474__FDSAUDITLINK__">{"fdsup://Directions/FactSet Auditing Viewer?action=AUDIT_VALUE&amp;DB=129&amp;ID1=14912310&amp;VALUEID=01148&amp;SDATE=2010&amp;PERIODTYPE=ANN_STD&amp;SCFT=3&amp;window=popup_no_bar&amp;width=385&amp;height=120&amp;START_MAXIMIZED=FALSE&amp;creator=factset&amp;display_string=Audit"}</definedName>
    <definedName name="_475__FDSAUDITLINK__">{"fdsup://Directions/FactSet Auditing Viewer?action=AUDIT_VALUE&amp;DB=129&amp;ID1=14912310&amp;VALUEID=01151&amp;SDATE=2009&amp;PERIODTYPE=ANN_STD&amp;SCFT=3&amp;window=popup_no_bar&amp;width=385&amp;height=120&amp;START_MAXIMIZED=FALSE&amp;creator=factset&amp;display_string=Audit"}</definedName>
    <definedName name="_476__FDSAUDITLINK__">{"fdsup://Directions/FactSet Auditing Viewer?action=AUDIT_VALUE&amp;DB=129&amp;ID1=14912310&amp;VALUEID=01151&amp;SDATE=2008&amp;PERIODTYPE=ANN_STD&amp;SCFT=3&amp;window=popup_no_bar&amp;width=385&amp;height=120&amp;START_MAXIMIZED=FALSE&amp;creator=factset&amp;display_string=Audit"}</definedName>
    <definedName name="_477__FDSAUDITLINK__">{"fdsup://Directions/FactSet Auditing Viewer?action=AUDIT_VALUE&amp;DB=129&amp;ID1=14912310&amp;VALUEID=01151&amp;SDATE=2007&amp;PERIODTYPE=ANN_STD&amp;SCFT=3&amp;window=popup_no_bar&amp;width=385&amp;height=120&amp;START_MAXIMIZED=FALSE&amp;creator=factset&amp;display_string=Audit"}</definedName>
    <definedName name="_478__FDSAUDITLINK__">{"fdsup://Directions/FactSet Auditing Viewer?action=AUDIT_VALUE&amp;DB=129&amp;ID1=14912310&amp;VALUEID=01151&amp;SDATE=2006&amp;PERIODTYPE=ANN_STD&amp;SCFT=3&amp;window=popup_no_bar&amp;width=385&amp;height=120&amp;START_MAXIMIZED=FALSE&amp;creator=factset&amp;display_string=Audit"}</definedName>
    <definedName name="_479__FDSAUDITLINK__">{"fdsup://Directions/FactSet Auditing Viewer?action=AUDIT_VALUE&amp;DB=129&amp;ID1=14912310&amp;VALUEID=01151&amp;SDATE=2005&amp;PERIODTYPE=ANN_STD&amp;SCFT=3&amp;window=popup_no_bar&amp;width=385&amp;height=120&amp;START_MAXIMIZED=FALSE&amp;creator=factset&amp;display_string=Audit"}</definedName>
    <definedName name="_48__FDSAUDITLINK__">{"fdsup://directions/FAT Viewer?action=UPDATE&amp;creator=factset&amp;DYN_ARGS=TRUE&amp;DOC_NAME=FAT:FQL_AUDITING_CLIENT_TEMPLATE.FAT&amp;display_string=Audit&amp;VAR:KEY=REPQFWZKVK&amp;VAR:QUERY=RkZfRVFfVE9UKEFOTiwtOSwwLFksUlAsTE9DQUwsTSk=&amp;WINDOW=FIRST_POPUP&amp;HEIGHT=450&amp;WIDTH=450&amp;","START_MAXIMIZED=FALSE&amp;VAR:CALENDAR=US&amp;VAR:SYMBOL=14912310&amp;VAR:INDEX=7"}</definedName>
    <definedName name="_480__FDSAUDITLINK__">{"fdsup://Directions/FactSet Auditing Viewer?action=AUDIT_VALUE&amp;DB=129&amp;ID1=14912310&amp;VALUEID=01151&amp;SDATE=2004&amp;PERIODTYPE=ANN_STD&amp;SCFT=3&amp;window=popup_no_bar&amp;width=385&amp;height=120&amp;START_MAXIMIZED=FALSE&amp;creator=factset&amp;display_string=Audit"}</definedName>
    <definedName name="_481__FDSAUDITLINK__">{"fdsup://Directions/FactSet Auditing Viewer?action=AUDIT_VALUE&amp;DB=129&amp;ID1=14912310&amp;VALUEID=01151&amp;SDATE=2010&amp;PERIODTYPE=ANN_STD&amp;SCFT=3&amp;window=popup_no_bar&amp;width=385&amp;height=120&amp;START_MAXIMIZED=FALSE&amp;creator=factset&amp;display_string=Audit"}</definedName>
    <definedName name="_482__FDSAUDITLINK__">{"fdsup://Directions/FactSet Auditing Viewer?action=AUDIT_VALUE&amp;DB=129&amp;ID1=14912310&amp;VALUEID=01051&amp;SDATE=2009&amp;PERIODTYPE=ANN_STD&amp;SCFT=3&amp;window=popup_no_bar&amp;width=385&amp;height=120&amp;START_MAXIMIZED=FALSE&amp;creator=factset&amp;display_string=Audit"}</definedName>
    <definedName name="_483__FDSAUDITLINK__">{"fdsup://Directions/FactSet Auditing Viewer?action=AUDIT_VALUE&amp;DB=129&amp;ID1=14912310&amp;VALUEID=01051&amp;SDATE=2008&amp;PERIODTYPE=ANN_STD&amp;SCFT=3&amp;window=popup_no_bar&amp;width=385&amp;height=120&amp;START_MAXIMIZED=FALSE&amp;creator=factset&amp;display_string=Audit"}</definedName>
    <definedName name="_484__FDSAUDITLINK__">{"fdsup://Directions/FactSet Auditing Viewer?action=AUDIT_VALUE&amp;DB=129&amp;ID1=14912310&amp;VALUEID=01051&amp;SDATE=2007&amp;PERIODTYPE=ANN_STD&amp;SCFT=3&amp;window=popup_no_bar&amp;width=385&amp;height=120&amp;START_MAXIMIZED=FALSE&amp;creator=factset&amp;display_string=Audit"}</definedName>
    <definedName name="_485__FDSAUDITLINK__">{"fdsup://Directions/FactSet Auditing Viewer?action=AUDIT_VALUE&amp;DB=129&amp;ID1=14912310&amp;VALUEID=01051&amp;SDATE=2006&amp;PERIODTYPE=ANN_STD&amp;SCFT=3&amp;window=popup_no_bar&amp;width=385&amp;height=120&amp;START_MAXIMIZED=FALSE&amp;creator=factset&amp;display_string=Audit"}</definedName>
    <definedName name="_486__FDSAUDITLINK__">{"fdsup://Directions/FactSet Auditing Viewer?action=AUDIT_VALUE&amp;DB=129&amp;ID1=14912310&amp;VALUEID=01051&amp;SDATE=2005&amp;PERIODTYPE=ANN_STD&amp;SCFT=3&amp;window=popup_no_bar&amp;width=385&amp;height=120&amp;START_MAXIMIZED=FALSE&amp;creator=factset&amp;display_string=Audit"}</definedName>
    <definedName name="_487__FDSAUDITLINK__">{"fdsup://Directions/FactSet Auditing Viewer?action=AUDIT_VALUE&amp;DB=129&amp;ID1=14912310&amp;VALUEID=01051&amp;SDATE=2004&amp;PERIODTYPE=ANN_STD&amp;SCFT=3&amp;window=popup_no_bar&amp;width=385&amp;height=120&amp;START_MAXIMIZED=FALSE&amp;creator=factset&amp;display_string=Audit"}</definedName>
    <definedName name="_488__FDSAUDITLINK__">{"fdsup://Directions/FactSet Auditing Viewer?action=AUDIT_VALUE&amp;DB=129&amp;ID1=14912310&amp;VALUEID=01051&amp;SDATE=2010&amp;PERIODTYPE=ANN_STD&amp;SCFT=3&amp;window=popup_no_bar&amp;width=385&amp;height=120&amp;START_MAXIMIZED=FALSE&amp;creator=factset&amp;display_string=Audit"}</definedName>
    <definedName name="_489__FDSAUDITLINK__">{"fdsup://directions/FAT Viewer?action=UPDATE&amp;creator=factset&amp;DYN_ARGS=TRUE&amp;DOC_NAME=FAT:FQL_AUDITING_CLIENT_TEMPLATE.FAT&amp;display_string=Audit&amp;VAR:KEY=CNYVSLWXWJ&amp;VAR:QUERY=RkZfQ09HUyhBTk4sLTksMCxZLFJQLExPQ0FMLE0p&amp;WINDOW=FIRST_POPUP&amp;HEIGHT=450&amp;WIDTH=450&amp;STAR","T_MAXIMIZED=FALSE&amp;VAR:CALENDAR=US&amp;VAR:SYMBOL=14912310&amp;VAR:INDEX=9"}</definedName>
    <definedName name="_49__FDSAUDITLINK__">{"fdsup://directions/FAT Viewer?action=UPDATE&amp;creator=factset&amp;DYN_ARGS=TRUE&amp;DOC_NAME=FAT:FQL_AUDITING_CLIENT_TEMPLATE.FAT&amp;display_string=Audit&amp;VAR:KEY=REPQFWZKVK&amp;VAR:QUERY=RkZfRVFfVE9UKEFOTiwtOSwwLFksUlAsTE9DQUwsTSk=&amp;WINDOW=FIRST_POPUP&amp;HEIGHT=450&amp;WIDTH=450&amp;","START_MAXIMIZED=FALSE&amp;VAR:CALENDAR=US&amp;VAR:SYMBOL=14912310&amp;VAR:INDEX=6"}</definedName>
    <definedName name="_490__FDSAUDITLINK__">{"fdsup://directions/FAT Viewer?action=UPDATE&amp;creator=factset&amp;DYN_ARGS=TRUE&amp;DOC_NAME=FAT:FQL_AUDITING_CLIENT_TEMPLATE.FAT&amp;display_string=Audit&amp;VAR:KEY=CNYVSLWXWJ&amp;VAR:QUERY=RkZfQ09HUyhBTk4sLTksMCxZLFJQLExPQ0FMLE0p&amp;WINDOW=FIRST_POPUP&amp;HEIGHT=450&amp;WIDTH=450&amp;STAR","T_MAXIMIZED=FALSE&amp;VAR:CALENDAR=US&amp;VAR:SYMBOL=14912310&amp;VAR:INDEX=8"}</definedName>
    <definedName name="_491__FDSAUDITLINK__">{"fdsup://directions/FAT Viewer?action=UPDATE&amp;creator=factset&amp;DYN_ARGS=TRUE&amp;DOC_NAME=FAT:FQL_AUDITING_CLIENT_TEMPLATE.FAT&amp;display_string=Audit&amp;VAR:KEY=CNYVSLWXWJ&amp;VAR:QUERY=RkZfQ09HUyhBTk4sLTksMCxZLFJQLExPQ0FMLE0p&amp;WINDOW=FIRST_POPUP&amp;HEIGHT=450&amp;WIDTH=450&amp;STAR","T_MAXIMIZED=FALSE&amp;VAR:CALENDAR=US&amp;VAR:SYMBOL=14912310&amp;VAR:INDEX=7"}</definedName>
    <definedName name="_492__FDSAUDITLINK__">{"fdsup://directions/FAT Viewer?action=UPDATE&amp;creator=factset&amp;DYN_ARGS=TRUE&amp;DOC_NAME=FAT:FQL_AUDITING_CLIENT_TEMPLATE.FAT&amp;display_string=Audit&amp;VAR:KEY=CNYVSLWXWJ&amp;VAR:QUERY=RkZfQ09HUyhBTk4sLTksMCxZLFJQLExPQ0FMLE0p&amp;WINDOW=FIRST_POPUP&amp;HEIGHT=450&amp;WIDTH=450&amp;STAR","T_MAXIMIZED=FALSE&amp;VAR:CALENDAR=US&amp;VAR:SYMBOL=14912310&amp;VAR:INDEX=6"}</definedName>
    <definedName name="_493__FDSAUDITLINK__">{"fdsup://directions/FAT Viewer?action=UPDATE&amp;creator=factset&amp;DYN_ARGS=TRUE&amp;DOC_NAME=FAT:FQL_AUDITING_CLIENT_TEMPLATE.FAT&amp;display_string=Audit&amp;VAR:KEY=CNYVSLWXWJ&amp;VAR:QUERY=RkZfQ09HUyhBTk4sLTksMCxZLFJQLExPQ0FMLE0p&amp;WINDOW=FIRST_POPUP&amp;HEIGHT=450&amp;WIDTH=450&amp;STAR","T_MAXIMIZED=FALSE&amp;VAR:CALENDAR=US&amp;VAR:SYMBOL=14912310&amp;VAR:INDEX=5"}</definedName>
    <definedName name="_494__FDSAUDITLINK__">{"fdsup://directions/FAT Viewer?action=UPDATE&amp;creator=factset&amp;DYN_ARGS=TRUE&amp;DOC_NAME=FAT:FQL_AUDITING_CLIENT_TEMPLATE.FAT&amp;display_string=Audit&amp;VAR:KEY=CNYVSLWXWJ&amp;VAR:QUERY=RkZfQ09HUyhBTk4sLTksMCxZLFJQLExPQ0FMLE0p&amp;WINDOW=FIRST_POPUP&amp;HEIGHT=450&amp;WIDTH=450&amp;STAR","T_MAXIMIZED=FALSE&amp;VAR:CALENDAR=US&amp;VAR:SYMBOL=14912310&amp;VAR:INDEX=4"}</definedName>
    <definedName name="_495__FDSAUDITLINK__">{"fdsup://directions/FAT Viewer?action=UPDATE&amp;creator=factset&amp;DYN_ARGS=TRUE&amp;DOC_NAME=FAT:FQL_AUDITING_CLIENT_TEMPLATE.FAT&amp;display_string=Audit&amp;VAR:KEY=CNYVSLWXWJ&amp;VAR:QUERY=RkZfQ09HUyhBTk4sLTksMCxZLFJQLExPQ0FMLE0p&amp;WINDOW=FIRST_POPUP&amp;HEIGHT=450&amp;WIDTH=450&amp;STAR","T_MAXIMIZED=FALSE&amp;VAR:CALENDAR=US&amp;VAR:SYMBOL=14912310&amp;VAR:INDEX=3"}</definedName>
    <definedName name="_496__FDSAUDITLINK__">{"fdsup://directions/FAT Viewer?action=UPDATE&amp;creator=factset&amp;DYN_ARGS=TRUE&amp;DOC_NAME=FAT:FQL_AUDITING_CLIENT_TEMPLATE.FAT&amp;display_string=Audit&amp;VAR:KEY=CNYVSLWXWJ&amp;VAR:QUERY=RkZfQ09HUyhBTk4sLTksMCxZLFJQLExPQ0FMLE0p&amp;WINDOW=FIRST_POPUP&amp;HEIGHT=450&amp;WIDTH=450&amp;STAR","T_MAXIMIZED=FALSE&amp;VAR:CALENDAR=US&amp;VAR:SYMBOL=14912310&amp;VAR:INDEX=2"}</definedName>
    <definedName name="_497__FDSAUDITLINK__">{"fdsup://directions/FAT Viewer?action=UPDATE&amp;creator=factset&amp;DYN_ARGS=TRUE&amp;DOC_NAME=FAT:FQL_AUDITING_CLIENT_TEMPLATE.FAT&amp;display_string=Audit&amp;VAR:KEY=CNYVSLWXWJ&amp;VAR:QUERY=RkZfQ09HUyhBTk4sLTksMCxZLFJQLExPQ0FMLE0p&amp;WINDOW=FIRST_POPUP&amp;HEIGHT=450&amp;WIDTH=450&amp;STAR","T_MAXIMIZED=FALSE&amp;VAR:CALENDAR=US&amp;VAR:SYMBOL=14912310&amp;VAR:INDEX=1"}</definedName>
    <definedName name="_498__FDSAUDITLINK__">{"fdsup://directions/FAT Viewer?action=UPDATE&amp;creator=factset&amp;DYN_ARGS=TRUE&amp;DOC_NAME=FAT:FQL_AUDITING_CLIENT_TEMPLATE.FAT&amp;display_string=Audit&amp;VAR:KEY=PUPWZCVKPM&amp;VAR:QUERY=UENUQ0hHKEZGX1NBTEVTKEFOTiwtOSwwLFksUlAsTE9DQUwsTSksRkZfU0FMRVMoQU5OLC0xLC05IC0gMSxZL","FJQLExPQ0FMLE0pKQ==&amp;WINDOW=FIRST_POPUP&amp;HEIGHT=450&amp;WIDTH=450&amp;START_MAXIMIZED=FALSE&amp;VAR:CALENDAR=US&amp;VAR:SYMBOL=14912310&amp;VAR:INDEX=9"}</definedName>
    <definedName name="_499__FDSAUDITLINK__">{"fdsup://directions/FAT Viewer?action=UPDATE&amp;creator=factset&amp;DYN_ARGS=TRUE&amp;DOC_NAME=FAT:FQL_AUDITING_CLIENT_TEMPLATE.FAT&amp;display_string=Audit&amp;VAR:KEY=PUPWZCVKPM&amp;VAR:QUERY=UENUQ0hHKEZGX1NBTEVTKEFOTiwtOSwwLFksUlAsTE9DQUwsTSksRkZfU0FMRVMoQU5OLC0xLC05IC0gMSxZL","FJQLExPQ0FMLE0pKQ==&amp;WINDOW=FIRST_POPUP&amp;HEIGHT=450&amp;WIDTH=450&amp;START_MAXIMIZED=FALSE&amp;VAR:CALENDAR=US&amp;VAR:SYMBOL=14912310&amp;VAR:INDEX=8"}</definedName>
    <definedName localSheetId="0" name="_5__123Graph_BCHART_1">'[17]Historical IS'!#REF!</definedName>
    <definedName name="_5__123Graph_BCHART_1">'[17]Historical IS'!#REF!</definedName>
    <definedName name="_5__123Graph_BChart_1A">'[18]Graph 1'!$C$9:$C$60</definedName>
    <definedName name="_5__123Graph_EChart_1A">[15]A!$C$101:$Q$101</definedName>
    <definedName localSheetId="0" name="_5__123Graph_XLIBORU_S">'[1]Base diaria'!#REF!</definedName>
    <definedName name="_5__123Graph_XLIBORU_S">'[1]Base diaria'!#REF!</definedName>
    <definedName name="_5__FDSAUDITLINK__">{"fdsup://directions/FAT Viewer?action=UPDATE&amp;creator=factset&amp;DYN_ARGS=TRUE&amp;DOC_NAME=FAT:FQL_AUDITING_CLIENT_TEMPLATE.FAT&amp;display_string=Audit&amp;VAR:KEY=YVQJGZGTCP&amp;VAR:QUERY=RkZfQlBTX1RBTkcoQU5OLC05LDAsWSxSUCxMT0NBTCxNKQ==&amp;WINDOW=FIRST_POPUP&amp;HEIGHT=450&amp;WIDTH=","450&amp;START_MAXIMIZED=FALSE&amp;VAR:CALENDAR=US&amp;VAR:SYMBOL=14912310&amp;VAR:INDEX=5"}</definedName>
    <definedName name="_50__FDSAUDITLINK__">{"fdsup://directions/FAT Viewer?action=UPDATE&amp;creator=factset&amp;DYN_ARGS=TRUE&amp;DOC_NAME=FAT:FQL_AUDITING_CLIENT_TEMPLATE.FAT&amp;display_string=Audit&amp;VAR:KEY=REPQFWZKVK&amp;VAR:QUERY=RkZfRVFfVE9UKEFOTiwtOSwwLFksUlAsTE9DQUwsTSk=&amp;WINDOW=FIRST_POPUP&amp;HEIGHT=450&amp;WIDTH=450&amp;","START_MAXIMIZED=FALSE&amp;VAR:CALENDAR=US&amp;VAR:SYMBOL=14912310&amp;VAR:INDEX=5"}</definedName>
    <definedName name="_500__FDSAUDITLINK__">{"fdsup://directions/FAT Viewer?action=UPDATE&amp;creator=factset&amp;DYN_ARGS=TRUE&amp;DOC_NAME=FAT:FQL_AUDITING_CLIENT_TEMPLATE.FAT&amp;display_string=Audit&amp;VAR:KEY=PUPWZCVKPM&amp;VAR:QUERY=UENUQ0hHKEZGX1NBTEVTKEFOTiwtOSwwLFksUlAsTE9DQUwsTSksRkZfU0FMRVMoQU5OLC0xLC05IC0gMSxZL","FJQLExPQ0FMLE0pKQ==&amp;WINDOW=FIRST_POPUP&amp;HEIGHT=450&amp;WIDTH=450&amp;START_MAXIMIZED=FALSE&amp;VAR:CALENDAR=US&amp;VAR:SYMBOL=14912310&amp;VAR:INDEX=7"}</definedName>
    <definedName name="_501__FDSAUDITLINK__">{"fdsup://directions/FAT Viewer?action=UPDATE&amp;creator=factset&amp;DYN_ARGS=TRUE&amp;DOC_NAME=FAT:FQL_AUDITING_CLIENT_TEMPLATE.FAT&amp;display_string=Audit&amp;VAR:KEY=PUPWZCVKPM&amp;VAR:QUERY=UENUQ0hHKEZGX1NBTEVTKEFOTiwtOSwwLFksUlAsTE9DQUwsTSksRkZfU0FMRVMoQU5OLC0xLC05IC0gMSxZL","FJQLExPQ0FMLE0pKQ==&amp;WINDOW=FIRST_POPUP&amp;HEIGHT=450&amp;WIDTH=450&amp;START_MAXIMIZED=FALSE&amp;VAR:CALENDAR=US&amp;VAR:SYMBOL=14912310&amp;VAR:INDEX=6"}</definedName>
    <definedName name="_502__FDSAUDITLINK__">{"fdsup://directions/FAT Viewer?action=UPDATE&amp;creator=factset&amp;DYN_ARGS=TRUE&amp;DOC_NAME=FAT:FQL_AUDITING_CLIENT_TEMPLATE.FAT&amp;display_string=Audit&amp;VAR:KEY=PUPWZCVKPM&amp;VAR:QUERY=UENUQ0hHKEZGX1NBTEVTKEFOTiwtOSwwLFksUlAsTE9DQUwsTSksRkZfU0FMRVMoQU5OLC0xLC05IC0gMSxZL","FJQLExPQ0FMLE0pKQ==&amp;WINDOW=FIRST_POPUP&amp;HEIGHT=450&amp;WIDTH=450&amp;START_MAXIMIZED=FALSE&amp;VAR:CALENDAR=US&amp;VAR:SYMBOL=14912310&amp;VAR:INDEX=5"}</definedName>
    <definedName name="_503__FDSAUDITLINK__">{"fdsup://directions/FAT Viewer?action=UPDATE&amp;creator=factset&amp;DYN_ARGS=TRUE&amp;DOC_NAME=FAT:FQL_AUDITING_CLIENT_TEMPLATE.FAT&amp;display_string=Audit&amp;VAR:KEY=PUPWZCVKPM&amp;VAR:QUERY=UENUQ0hHKEZGX1NBTEVTKEFOTiwtOSwwLFksUlAsTE9DQUwsTSksRkZfU0FMRVMoQU5OLC0xLC05IC0gMSxZL","FJQLExPQ0FMLE0pKQ==&amp;WINDOW=FIRST_POPUP&amp;HEIGHT=450&amp;WIDTH=450&amp;START_MAXIMIZED=FALSE&amp;VAR:CALENDAR=US&amp;VAR:SYMBOL=14912310&amp;VAR:INDEX=4"}</definedName>
    <definedName name="_504__FDSAUDITLINK__">{"fdsup://directions/FAT Viewer?action=UPDATE&amp;creator=factset&amp;DYN_ARGS=TRUE&amp;DOC_NAME=FAT:FQL_AUDITING_CLIENT_TEMPLATE.FAT&amp;display_string=Audit&amp;VAR:KEY=PUPWZCVKPM&amp;VAR:QUERY=UENUQ0hHKEZGX1NBTEVTKEFOTiwtOSwwLFksUlAsTE9DQUwsTSksRkZfU0FMRVMoQU5OLC0xLC05IC0gMSxZL","FJQLExPQ0FMLE0pKQ==&amp;WINDOW=FIRST_POPUP&amp;HEIGHT=450&amp;WIDTH=450&amp;START_MAXIMIZED=FALSE&amp;VAR:CALENDAR=US&amp;VAR:SYMBOL=14912310&amp;VAR:INDEX=3"}</definedName>
    <definedName name="_505__FDSAUDITLINK__">{"fdsup://directions/FAT Viewer?action=UPDATE&amp;creator=factset&amp;DYN_ARGS=TRUE&amp;DOC_NAME=FAT:FQL_AUDITING_CLIENT_TEMPLATE.FAT&amp;display_string=Audit&amp;VAR:KEY=PUPWZCVKPM&amp;VAR:QUERY=UENUQ0hHKEZGX1NBTEVTKEFOTiwtOSwwLFksUlAsTE9DQUwsTSksRkZfU0FMRVMoQU5OLC0xLC05IC0gMSxZL","FJQLExPQ0FMLE0pKQ==&amp;WINDOW=FIRST_POPUP&amp;HEIGHT=450&amp;WIDTH=450&amp;START_MAXIMIZED=FALSE&amp;VAR:CALENDAR=US&amp;VAR:SYMBOL=14912310&amp;VAR:INDEX=2"}</definedName>
    <definedName name="_506__FDSAUDITLINK__">{"fdsup://directions/FAT Viewer?action=UPDATE&amp;creator=factset&amp;DYN_ARGS=TRUE&amp;DOC_NAME=FAT:FQL_AUDITING_CLIENT_TEMPLATE.FAT&amp;display_string=Audit&amp;VAR:KEY=PUPWZCVKPM&amp;VAR:QUERY=UENUQ0hHKEZGX1NBTEVTKEFOTiwtOSwwLFksUlAsTE9DQUwsTSksRkZfU0FMRVMoQU5OLC0xLC05IC0gMSxZL","FJQLExPQ0FMLE0pKQ==&amp;WINDOW=FIRST_POPUP&amp;HEIGHT=450&amp;WIDTH=450&amp;START_MAXIMIZED=FALSE&amp;VAR:CALENDAR=US&amp;VAR:SYMBOL=14912310&amp;VAR:INDEX=1"}</definedName>
    <definedName name="_507__FDSAUDITLINK__">{"fdsup://Directions/FactSet Auditing Viewer?action=AUDIT_VALUE&amp;DB=129&amp;ID1=14912310&amp;VALUEID=01001&amp;SDATE=2009&amp;PERIODTYPE=ANN_STD&amp;SCFT=3&amp;window=popup_no_bar&amp;width=385&amp;height=120&amp;START_MAXIMIZED=FALSE&amp;creator=factset&amp;display_string=Audit"}</definedName>
    <definedName name="_508__FDSAUDITLINK__">{"fdsup://Directions/FactSet Auditing Viewer?action=AUDIT_VALUE&amp;DB=129&amp;ID1=14912310&amp;VALUEID=01001&amp;SDATE=2008&amp;PERIODTYPE=ANN_STD&amp;SCFT=3&amp;window=popup_no_bar&amp;width=385&amp;height=120&amp;START_MAXIMIZED=FALSE&amp;creator=factset&amp;display_string=Audit"}</definedName>
    <definedName name="_509__FDSAUDITLINK__">{"fdsup://Directions/FactSet Auditing Viewer?action=AUDIT_VALUE&amp;DB=129&amp;ID1=14912310&amp;VALUEID=01001&amp;SDATE=2007&amp;PERIODTYPE=ANN_STD&amp;SCFT=3&amp;window=popup_no_bar&amp;width=385&amp;height=120&amp;START_MAXIMIZED=FALSE&amp;creator=factset&amp;display_string=Audit"}</definedName>
    <definedName name="_51__FDSAUDITLINK__">{"fdsup://directions/FAT Viewer?action=UPDATE&amp;creator=factset&amp;DYN_ARGS=TRUE&amp;DOC_NAME=FAT:FQL_AUDITING_CLIENT_TEMPLATE.FAT&amp;display_string=Audit&amp;VAR:KEY=REPQFWZKVK&amp;VAR:QUERY=RkZfRVFfVE9UKEFOTiwtOSwwLFksUlAsTE9DQUwsTSk=&amp;WINDOW=FIRST_POPUP&amp;HEIGHT=450&amp;WIDTH=450&amp;","START_MAXIMIZED=FALSE&amp;VAR:CALENDAR=US&amp;VAR:SYMBOL=14912310&amp;VAR:INDEX=4"}</definedName>
    <definedName name="_510__FDSAUDITLINK__">{"fdsup://Directions/FactSet Auditing Viewer?action=AUDIT_VALUE&amp;DB=129&amp;ID1=14912310&amp;VALUEID=01001&amp;SDATE=2006&amp;PERIODTYPE=ANN_STD&amp;SCFT=3&amp;window=popup_no_bar&amp;width=385&amp;height=120&amp;START_MAXIMIZED=FALSE&amp;creator=factset&amp;display_string=Audit"}</definedName>
    <definedName name="_511__FDSAUDITLINK__">{"fdsup://Directions/FactSet Auditing Viewer?action=AUDIT_VALUE&amp;DB=129&amp;ID1=14912310&amp;VALUEID=01001&amp;SDATE=2005&amp;PERIODTYPE=ANN_STD&amp;SCFT=3&amp;window=popup_no_bar&amp;width=385&amp;height=120&amp;START_MAXIMIZED=FALSE&amp;creator=factset&amp;display_string=Audit"}</definedName>
    <definedName name="_512__FDSAUDITLINK__">{"fdsup://Directions/FactSet Auditing Viewer?action=AUDIT_VALUE&amp;DB=129&amp;ID1=14912310&amp;VALUEID=01001&amp;SDATE=2004&amp;PERIODTYPE=ANN_STD&amp;SCFT=3&amp;window=popup_no_bar&amp;width=385&amp;height=120&amp;START_MAXIMIZED=FALSE&amp;creator=factset&amp;display_string=Audit"}</definedName>
    <definedName name="_513__FDSAUDITLINK__">{"fdsup://Directions/FactSet Auditing Viewer?action=AUDIT_VALUE&amp;DB=129&amp;ID1=14912310&amp;VALUEID=01001&amp;SDATE=2010&amp;PERIODTYPE=ANN_STD&amp;SCFT=3&amp;window=popup_no_bar&amp;width=385&amp;height=120&amp;START_MAXIMIZED=FALSE&amp;creator=factset&amp;display_string=Audit"}</definedName>
    <definedName name="_514__FDSAUDITLINK__">{"fdsup://Directions/FactSet Auditing Viewer?action=AUDIT_VALUE&amp;DB=129&amp;ID1=14912310&amp;VALUEID=05194&amp;SDATE=2011&amp;PERIODTYPE=ANN_STD&amp;SCFT=3&amp;window=popup_no_bar&amp;width=385&amp;height=120&amp;START_MAXIMIZED=FALSE&amp;creator=factset&amp;display_string=Audit"}</definedName>
    <definedName name="_515__FDSAUDITLINK__">{"fdsup://Directions/FactSet Auditing Viewer?action=AUDIT_VALUE&amp;DB=129&amp;ID1=14912310&amp;VALUEID=05192&amp;SDATE=2011&amp;PERIODTYPE=ANN_STD&amp;SCFT=3&amp;window=popup_no_bar&amp;width=385&amp;height=120&amp;START_MAXIMIZED=FALSE&amp;creator=factset&amp;display_string=Audit"}</definedName>
    <definedName name="_516__FDSAUDITLINK__">{"fdsup://Directions/FactSet Auditing Viewer?action=AUDIT_VALUE&amp;DB=129&amp;ID1=14912310&amp;VALUEID=01352&amp;SDATE=2011&amp;PERIODTYPE=ANN_STD&amp;SCFT=3&amp;window=popup_no_bar&amp;width=385&amp;height=120&amp;START_MAXIMIZED=FALSE&amp;creator=factset&amp;display_string=Audit"}</definedName>
    <definedName name="_517__FDSAUDITLINK__">{"fdsup://Directions/FactSet Auditing Viewer?action=AUDIT_VALUE&amp;DB=129&amp;ID1=14912310&amp;VALUEID=18140&amp;SDATE=2011&amp;PERIODTYPE=ANN_STD&amp;SCFT=3&amp;window=popup_no_bar&amp;width=385&amp;height=120&amp;START_MAXIMIZED=FALSE&amp;creator=factset&amp;display_string=Audit"}</definedName>
    <definedName name="_518__FDSAUDITLINK__">{"fdsup://Directions/FactSet Auditing Viewer?action=AUDIT_VALUE&amp;DB=129&amp;ID1=14912310&amp;VALUEID=18321&amp;SDATE=2011&amp;PERIODTYPE=ANN_STD&amp;SCFT=3&amp;window=popup_no_bar&amp;width=385&amp;height=120&amp;START_MAXIMIZED=FALSE&amp;creator=factset&amp;display_string=Audit"}</definedName>
    <definedName name="_519__FDSAUDITLINK__">{"fdsup://directions/FAT Viewer?action=UPDATE&amp;creator=factset&amp;DYN_ARGS=TRUE&amp;DOC_NAME=FAT:FQL_AUDITING_CLIENT_TEMPLATE.FAT&amp;display_string=Audit&amp;VAR:KEY=WZSXQXMZAJ&amp;VAR:QUERY=RkZfRUJJVERBX09QRVJfTUdOKEFOTiwtOSwwLFksUlAsTE9DQUwsTSk=&amp;WINDOW=FIRST_POPUP&amp;HEIGHT=45","0&amp;WIDTH=450&amp;START_MAXIMIZED=FALSE&amp;VAR:CALENDAR=US&amp;VAR:SYMBOL=14912310&amp;VAR:INDEX=0"}</definedName>
    <definedName name="_52__FDSAUDITLINK__">{"fdsup://directions/FAT Viewer?action=UPDATE&amp;creator=factset&amp;DYN_ARGS=TRUE&amp;DOC_NAME=FAT:FQL_AUDITING_CLIENT_TEMPLATE.FAT&amp;display_string=Audit&amp;VAR:KEY=REPQFWZKVK&amp;VAR:QUERY=RkZfRVFfVE9UKEFOTiwtOSwwLFksUlAsTE9DQUwsTSk=&amp;WINDOW=FIRST_POPUP&amp;HEIGHT=450&amp;WIDTH=450&amp;","START_MAXIMIZED=FALSE&amp;VAR:CALENDAR=US&amp;VAR:SYMBOL=14912310&amp;VAR:INDEX=3"}</definedName>
    <definedName name="_520__FDSAUDITLINK__">{"fdsup://directions/FAT Viewer?action=UPDATE&amp;creator=factset&amp;DYN_ARGS=TRUE&amp;DOC_NAME=FAT:FQL_AUDITING_CLIENT_TEMPLATE.FAT&amp;display_string=Audit&amp;VAR:KEY=RAZEVEZYTI&amp;VAR:QUERY=UENUQ0hHKEZGX0VCSVREQV9PUEVSKEFOTiwtOSwwLFksUlAsTE9DQUwsTSksRkZfRUJJVERBX09QRVIoQU5OL","C0xLC05IC0gMSxZLFJQLExPQ0FMLE0pKQ==&amp;WINDOW=FIRST_POPUP&amp;HEIGHT=450&amp;WIDTH=450&amp;START_MAXIMIZED=FALSE&amp;VAR:CALENDAR=US&amp;VAR:SYMBOL=14912310&amp;VAR:INDEX=0"}</definedName>
    <definedName name="_521__FDSAUDITLINK__">{"fdsup://Directions/FactSet Auditing Viewer?action=AUDIT_VALUE&amp;DB=129&amp;ID1=14912310&amp;VALUEID=01151&amp;SDATE=2011&amp;PERIODTYPE=ANN_STD&amp;SCFT=3&amp;window=popup_no_bar&amp;width=385&amp;height=120&amp;START_MAXIMIZED=FALSE&amp;creator=factset&amp;display_string=Audit"}</definedName>
    <definedName name="_522__FDSAUDITLINK__">{"fdsup://directions/FAT Viewer?action=UPDATE&amp;creator=factset&amp;DYN_ARGS=TRUE&amp;DOC_NAME=FAT:FQL_AUDITING_CLIENT_TEMPLATE.FAT&amp;display_string=Audit&amp;VAR:KEY=MTEFGZITYH&amp;VAR:QUERY=RkZfRUJJVF9PUEVSKEFOTiwtOSwwLFksUlAsTE9DQUwsTSk=&amp;WINDOW=FIRST_POPUP&amp;HEIGHT=450&amp;WIDTH=","450&amp;START_MAXIMIZED=FALSE&amp;VAR:CALENDAR=US&amp;VAR:SYMBOL=14912310&amp;VAR:INDEX=0"}</definedName>
    <definedName name="_523__FDSAUDITLINK__">{"fdsup://directions/FAT Viewer?action=UPDATE&amp;creator=factset&amp;DYN_ARGS=TRUE&amp;DOC_NAME=FAT:FQL_AUDITING_CLIENT_TEMPLATE.FAT&amp;display_string=Audit&amp;VAR:KEY=ZCBCJSZOTA&amp;VAR:QUERY=RkZfRUJJVERBX09QRVIoQU5OLC05LDAsWSxSUCxMT0NBTCxNKQ==&amp;WINDOW=FIRST_POPUP&amp;HEIGHT=450&amp;WI","DTH=450&amp;START_MAXIMIZED=FALSE&amp;VAR:CALENDAR=US&amp;VAR:SYMBOL=14912310&amp;VAR:INDEX=0"}</definedName>
    <definedName name="_524__FDSAUDITLINK__">{"fdsup://directions/FAT Viewer?action=UPDATE&amp;creator=factset&amp;DYN_ARGS=TRUE&amp;DOC_NAME=FAT:FQL_AUDITING_CLIENT_TEMPLATE.FAT&amp;display_string=Audit&amp;VAR:KEY=UNYXYVANEL&amp;VAR:QUERY=UENUQ0hHKEZGX0VQU19ESUwoQU5OLC05LDAsWSxSUCxMT0NBTCxNKSxGRl9FUFNfRElMKEFOTiwtMSwtOSAtI","DEsWSxSUCxMT0NBTCxNKSk=&amp;WINDOW=FIRST_POPUP&amp;HEIGHT=450&amp;WIDTH=450&amp;START_MAXIMIZED=FALSE&amp;VAR:CALENDAR=US&amp;VAR:SYMBOL=14912310&amp;VAR:INDEX=0"}</definedName>
    <definedName name="_525__FDSAUDITLINK__">{"fdsup://directions/FAT Viewer?action=UPDATE&amp;creator=factset&amp;DYN_ARGS=TRUE&amp;DOC_NAME=FAT:FQL_AUDITING_CLIENT_TEMPLATE.FAT&amp;display_string=Audit&amp;VAR:KEY=JGFADWFEPI&amp;VAR:QUERY=RkZfRVBTX0RJTChBTk4sLTksMCxZLFJQLExPQ0FMLE0p&amp;WINDOW=FIRST_POPUP&amp;HEIGHT=450&amp;WIDTH=450&amp;","START_MAXIMIZED=FALSE&amp;VAR:CALENDAR=US&amp;VAR:SYMBOL=14912310&amp;VAR:INDEX=0"}</definedName>
    <definedName name="_526__FDSAUDITLINK__">{"fdsup://directions/FAT Viewer?action=UPDATE&amp;creator=factset&amp;DYN_ARGS=TRUE&amp;DOC_NAME=FAT:FQL_AUDITING_CLIENT_TEMPLATE.FAT&amp;display_string=Audit&amp;VAR:KEY=UPSVORCXET&amp;VAR:QUERY=UENUQ0hHKEZGX0VQU19CQVNJQyhBTk4sLTksMCxZLFJQLExPQ0FMLE0pLEZGX0VQU19CQVNJQyhBTk4sLTEsL","TkgLSAxLFksUlAsTE9DQUwsTSkp&amp;WINDOW=FIRST_POPUP&amp;HEIGHT=450&amp;WIDTH=450&amp;START_MAXIMIZED=FALSE&amp;VAR:CALENDAR=US&amp;VAR:SYMBOL=14912310&amp;VAR:INDEX=0"}</definedName>
    <definedName name="_527__FDSAUDITLINK__">{"fdsup://Directions/FactSet Auditing Viewer?action=AUDIT_VALUE&amp;DB=129&amp;ID1=14912310&amp;VALUEID=10010&amp;SDATE=2011&amp;PERIODTYPE=ANN_STD&amp;SCFT=3&amp;window=popup_no_bar&amp;width=385&amp;height=120&amp;START_MAXIMIZED=FALSE&amp;creator=factset&amp;display_string=Audit"}</definedName>
    <definedName name="_528__FDSAUDITLINK__">{"fdsup://directions/FAT Viewer?action=UPDATE&amp;creator=factset&amp;DYN_ARGS=TRUE&amp;DOC_NAME=FAT:FQL_AUDITING_CLIENT_TEMPLATE.FAT&amp;display_string=Audit&amp;VAR:KEY=OLIXYPEFGD&amp;VAR:QUERY=UENUQ0hHKEZGX0VQU19ESUxfQkVGX1VOVVNVQUwoQU5OLC05LDAsWSxSUCxMT0NBTCxNKSxGRl9FUFNfRElMX","0JFRl9VTlVTVUFMKEFOTiwtMSwtOSAtIDEsWSxSUCxMT0NBTCxNKSk=&amp;WINDOW=FIRST_POPUP&amp;HEIGHT=450&amp;WIDTH=450&amp;START_MAXIMIZED=FALSE&amp;VAR:CALENDAR=US&amp;VAR:SYMBOL=14912310&amp;VAR:INDEX=0"}</definedName>
    <definedName name="_529__FDSAUDITLINK__">{"fdsup://directions/FAT Viewer?action=UPDATE&amp;creator=factset&amp;DYN_ARGS=TRUE&amp;DOC_NAME=FAT:FQL_AUDITING_CLIENT_TEMPLATE.FAT&amp;display_string=Audit&amp;VAR:KEY=POJEROFCNY&amp;VAR:QUERY=RkZfRVBTX0RJTF9CRUZfVU5VU1VBTChBTk4sLTksMCxZLFJQLExPQ0FMLE0p&amp;WINDOW=FIRST_POPUP&amp;HEIGH","T=450&amp;WIDTH=450&amp;START_MAXIMIZED=FALSE&amp;VAR:CALENDAR=US&amp;VAR:SYMBOL=14912310&amp;VAR:INDEX=0"}</definedName>
    <definedName name="_53__FDSAUDITLINK__">{"fdsup://directions/FAT Viewer?action=UPDATE&amp;creator=factset&amp;DYN_ARGS=TRUE&amp;DOC_NAME=FAT:FQL_AUDITING_CLIENT_TEMPLATE.FAT&amp;display_string=Audit&amp;VAR:KEY=REPQFWZKVK&amp;VAR:QUERY=RkZfRVFfVE9UKEFOTiwtOSwwLFksUlAsTE9DQUwsTSk=&amp;WINDOW=FIRST_POPUP&amp;HEIGHT=450&amp;WIDTH=450&amp;","START_MAXIMIZED=FALSE&amp;VAR:CALENDAR=US&amp;VAR:SYMBOL=14912310&amp;VAR:INDEX=2"}</definedName>
    <definedName name="_530__FDSAUDITLINK__">{"fdsup://directions/FAT Viewer?action=UPDATE&amp;creator=factset&amp;DYN_ARGS=TRUE&amp;DOC_NAME=FAT:FQL_AUDITING_CLIENT_TEMPLATE.FAT&amp;display_string=Audit&amp;VAR:KEY=MHKHMBGJER&amp;VAR:QUERY=RkZfTkVUX0lOQ19CQVNJQyhBTk4sLTksMCxZLFJQLExPQ0FMLE0p&amp;WINDOW=FIRST_POPUP&amp;HEIGHT=450&amp;WI","DTH=450&amp;START_MAXIMIZED=FALSE&amp;VAR:CALENDAR=US&amp;VAR:SYMBOL=14912310&amp;VAR:INDEX=0"}</definedName>
    <definedName name="_531__FDSAUDITLINK__">{"fdsup://directions/FAT Viewer?action=UPDATE&amp;creator=factset&amp;DYN_ARGS=TRUE&amp;DOC_NAME=FAT:FQL_AUDITING_CLIENT_TEMPLATE.FAT&amp;display_string=Audit&amp;VAR:KEY=SBCTYJULEJ&amp;VAR:QUERY=RkZfTkVUX01HTihBTk4sLTksMCxZLFJQLExPQ0FMLE0p&amp;WINDOW=FIRST_POPUP&amp;HEIGHT=450&amp;WIDTH=450&amp;","START_MAXIMIZED=FALSE&amp;VAR:CALENDAR=US&amp;VAR:SYMBOL=14912310&amp;VAR:INDEX=0"}</definedName>
    <definedName name="_532__FDSAUDITLINK__">{"fdsup://directions/FAT Viewer?action=UPDATE&amp;creator=factset&amp;DYN_ARGS=TRUE&amp;DOC_NAME=FAT:FQL_AUDITING_CLIENT_TEMPLATE.FAT&amp;display_string=Audit&amp;VAR:KEY=XABARKBOTQ&amp;VAR:QUERY=UENUQ0hHKEZGX05FVF9JTkMoQU5OLC05LDAsWSxSUCxMT0NBTCxNKSxGRl9ORVRfSU5DKEFOTiwtMSwtOSAtI","DEsWSxSUCxMT0NBTCxNKSk=&amp;WINDOW=FIRST_POPUP&amp;HEIGHT=450&amp;WIDTH=450&amp;START_MAXIMIZED=FALSE&amp;VAR:CALENDAR=US&amp;VAR:SYMBOL=14912310&amp;VAR:INDEX=0"}</definedName>
    <definedName name="_533__FDSAUDITLINK__">{"fdsup://directions/FAT Viewer?action=UPDATE&amp;creator=factset&amp;DYN_ARGS=TRUE&amp;DOC_NAME=FAT:FQL_AUDITING_CLIENT_TEMPLATE.FAT&amp;display_string=Audit&amp;VAR:KEY=CHUVWNMNWB&amp;VAR:QUERY=RkZfTkVUX0lOQyhBTk4sLTksMCxZLFJQLExPQ0FMLE0p&amp;WINDOW=FIRST_POPUP&amp;HEIGHT=450&amp;WIDTH=450&amp;","START_MAXIMIZED=FALSE&amp;VAR:CALENDAR=US&amp;VAR:SYMBOL=14912310&amp;VAR:INDEX=0"}</definedName>
    <definedName name="_534__FDSAUDITLINK__">{"fdsup://Directions/FactSet Auditing Viewer?action=AUDIT_VALUE&amp;DB=129&amp;ID1=14912310&amp;VALUEID=01501&amp;SDATE=2011&amp;PERIODTYPE=ANN_STD&amp;SCFT=3&amp;window=popup_no_bar&amp;width=385&amp;height=120&amp;START_MAXIMIZED=FALSE&amp;creator=factset&amp;display_string=Audit"}</definedName>
    <definedName name="_535__FDSAUDITLINK__">{"fdsup://directions/FAT Viewer?action=UPDATE&amp;creator=factset&amp;DYN_ARGS=TRUE&amp;DOC_NAME=FAT:FQL_AUDITING_CLIENT_TEMPLATE.FAT&amp;display_string=Audit&amp;VAR:KEY=KFGJGXMPCT&amp;VAR:QUERY=RkZfQ09OU09MX05FVF9JTkMoQU5OLC05LDAsWSxSUCxMT0NBTCxNKQ==&amp;WINDOW=FIRST_POPUP&amp;HEIGHT=45","0&amp;WIDTH=450&amp;START_MAXIMIZED=FALSE&amp;VAR:CALENDAR=US&amp;VAR:SYMBOL=14912310&amp;VAR:INDEX=0"}</definedName>
    <definedName name="_536__FDSAUDITLINK__">{"fdsup://Directions/FactSet Auditing Viewer?action=AUDIT_VALUE&amp;DB=129&amp;ID1=14912310&amp;VALUEID=01503&amp;SDATE=2011&amp;PERIODTYPE=ANN_STD&amp;SCFT=3&amp;window=popup_no_bar&amp;width=385&amp;height=120&amp;START_MAXIMIZED=FALSE&amp;creator=factset&amp;display_string=Audit"}</definedName>
    <definedName name="_537__FDSAUDITLINK__">{"fdsup://Directions/FactSet Auditing Viewer?action=AUDIT_VALUE&amp;DB=129&amp;ID1=14912310&amp;VALUEID=18189&amp;SDATE=2011&amp;PERIODTYPE=ANN_STD&amp;SCFT=3&amp;window=popup_no_bar&amp;width=385&amp;height=120&amp;START_MAXIMIZED=FALSE&amp;creator=factset&amp;display_string=Audit"}</definedName>
    <definedName name="_538__FDSAUDITLINK__">{"fdsup://Directions/FactSet Auditing Viewer?action=AUDIT_VALUE&amp;DB=129&amp;ID1=14912310&amp;VALUEID=18188&amp;SDATE=2011&amp;PERIODTYPE=ANN_STD&amp;SCFT=3&amp;window=popup_no_bar&amp;width=385&amp;height=120&amp;START_MAXIMIZED=FALSE&amp;creator=factset&amp;display_string=Audit"}</definedName>
    <definedName name="_539__FDSAUDITLINK__">{"fdsup://Directions/FactSet Auditing Viewer?action=AUDIT_VALUE&amp;DB=129&amp;ID1=14912310&amp;VALUEID=18187&amp;SDATE=2011&amp;PERIODTYPE=ANN_STD&amp;SCFT=3&amp;window=popup_no_bar&amp;width=385&amp;height=120&amp;START_MAXIMIZED=FALSE&amp;creator=factset&amp;display_string=Audit"}</definedName>
    <definedName name="_54__FDSAUDITLINK__">{"fdsup://directions/FAT Viewer?action=UPDATE&amp;creator=factset&amp;DYN_ARGS=TRUE&amp;DOC_NAME=FAT:FQL_AUDITING_CLIENT_TEMPLATE.FAT&amp;display_string=Audit&amp;VAR:KEY=REPQFWZKVK&amp;VAR:QUERY=RkZfRVFfVE9UKEFOTiwtOSwwLFksUlAsTE9DQUwsTSk=&amp;WINDOW=FIRST_POPUP&amp;HEIGHT=450&amp;WIDTH=450&amp;","START_MAXIMIZED=FALSE&amp;VAR:CALENDAR=US&amp;VAR:SYMBOL=14912310&amp;VAR:INDEX=1"}</definedName>
    <definedName name="_540__FDSAUDITLINK__">{"fdsup://Directions/FactSet Auditing Viewer?action=AUDIT_VALUE&amp;DB=129&amp;ID1=14912310&amp;VALUEID=18186&amp;SDATE=2011&amp;PERIODTYPE=ANN_STD&amp;SCFT=3&amp;window=popup_no_bar&amp;width=385&amp;height=120&amp;START_MAXIMIZED=FALSE&amp;creator=factset&amp;display_string=Audit"}</definedName>
    <definedName name="_541__FDSAUDITLINK__">{"fdsup://Directions/FactSet Auditing Viewer?action=AUDIT_VALUE&amp;DB=129&amp;ID1=14912310&amp;VALUEID=01451&amp;SDATE=2011&amp;PERIODTYPE=ANN_STD&amp;SCFT=3&amp;window=popup_no_bar&amp;width=385&amp;height=120&amp;START_MAXIMIZED=FALSE&amp;creator=factset&amp;display_string=Audit"}</definedName>
    <definedName name="_542__FDSAUDITLINK__">{"fdsup://directions/FAT Viewer?action=UPDATE&amp;creator=factset&amp;DYN_ARGS=TRUE&amp;DOC_NAME=FAT:FQL_AUDITING_CLIENT_TEMPLATE.FAT&amp;display_string=Audit&amp;VAR:KEY=DWVURITILI&amp;VAR:QUERY=RkZfUFRYX01HTihBTk4sLTksMCxZLFJQLExPQ0FMLE0p&amp;WINDOW=FIRST_POPUP&amp;HEIGHT=450&amp;WIDTH=450&amp;","START_MAXIMIZED=FALSE&amp;VAR:CALENDAR=US&amp;VAR:SYMBOL=14912310&amp;VAR:INDEX=0"}</definedName>
    <definedName name="_543__FDSAUDITLINK__">{"fdsup://directions/FAT Viewer?action=UPDATE&amp;creator=factset&amp;DYN_ARGS=TRUE&amp;DOC_NAME=FAT:FQL_AUDITING_CLIENT_TEMPLATE.FAT&amp;display_string=Audit&amp;VAR:KEY=QNCVEHMNAT&amp;VAR:QUERY=UENUQ0hHKEZGX1BUWF9JTkMoQU5OLC05LDAsWSxSUCxMT0NBTCxNKSxGRl9QVFhfSU5DKEFOTiwtMSwtOSAtI","DEsWSxSUCxMT0NBTCxNKSk=&amp;WINDOW=FIRST_POPUP&amp;HEIGHT=450&amp;WIDTH=450&amp;START_MAXIMIZED=FALSE&amp;VAR:CALENDAR=US&amp;VAR:SYMBOL=14912310&amp;VAR:INDEX=0"}</definedName>
    <definedName name="_544__FDSAUDITLINK__">{"fdsup://Directions/FactSet Auditing Viewer?action=AUDIT_VALUE&amp;DB=129&amp;ID1=14912310&amp;VALUEID=01401&amp;SDATE=2011&amp;PERIODTYPE=ANN_STD&amp;SCFT=3&amp;window=popup_no_bar&amp;width=385&amp;height=120&amp;START_MAXIMIZED=FALSE&amp;creator=factset&amp;display_string=Audit"}</definedName>
    <definedName name="_545__FDSAUDITLINK__">{"fdsup://directions/FAT Viewer?action=UPDATE&amp;creator=factset&amp;DYN_ARGS=TRUE&amp;DOC_NAME=FAT:FQL_AUDITING_CLIENT_TEMPLATE.FAT&amp;display_string=Audit&amp;VAR:KEY=KPQNYXOTGR&amp;VAR:QUERY=RkZfT1RIX1VOVVNVQUxfRVhQKEFOTiwtOSwwLFksUlAsTE9DQUwsTSk=&amp;WINDOW=FIRST_POPUP&amp;HEIGHT=45","0&amp;WIDTH=450&amp;START_MAXIMIZED=FALSE&amp;VAR:CALENDAR=US&amp;VAR:SYMBOL=14912310&amp;VAR:INDEX=0"}</definedName>
    <definedName name="_546__FDSAUDITLINK__">{"fdsup://directions/FAT Viewer?action=UPDATE&amp;creator=factset&amp;DYN_ARGS=TRUE&amp;DOC_NAME=FAT:FQL_AUDITING_CLIENT_TEMPLATE.FAT&amp;display_string=Audit&amp;VAR:KEY=DMPQRSHWBG&amp;VAR:QUERY=RkZfVU5SRUFMX0lOVkVTVF9HTChBTk4sLTksMCxZLFJQLExPQ0FMLE0p&amp;WINDOW=FIRST_POPUP&amp;HEIGHT=45","0&amp;WIDTH=450&amp;START_MAXIMIZED=FALSE&amp;VAR:CALENDAR=US&amp;VAR:SYMBOL=14912310&amp;VAR:INDEX=0"}</definedName>
    <definedName name="_547__FDSAUDITLINK__">{"fdsup://directions/FAT Viewer?action=UPDATE&amp;creator=factset&amp;DYN_ARGS=TRUE&amp;DOC_NAME=FAT:FQL_AUDITING_CLIENT_TEMPLATE.FAT&amp;display_string=Audit&amp;VAR:KEY=ELOLAHSNUP&amp;VAR:QUERY=RkZfSU1QQUlSX0lOVEFOR19PVEgoQU5OLC05LDAsWSxSUCxMT0NBTCxNKQ==&amp;WINDOW=FIRST_POPUP&amp;HEIGH","T=450&amp;WIDTH=450&amp;START_MAXIMIZED=FALSE&amp;VAR:CALENDAR=US&amp;VAR:SYMBOL=14912310&amp;VAR:INDEX=0"}</definedName>
    <definedName name="_548__FDSAUDITLINK__">{"fdsup://directions/FAT Viewer?action=UPDATE&amp;creator=factset&amp;DYN_ARGS=TRUE&amp;DOC_NAME=FAT:FQL_AUDITING_CLIENT_TEMPLATE.FAT&amp;display_string=Audit&amp;VAR:KEY=POJALOBAZC&amp;VAR:QUERY=RkZfTEVHQUxfQ0xBSU1fRVhQKEFOTiwtOSwwLFksUlAsTE9DQUwsTSk=&amp;WINDOW=FIRST_POPUP&amp;HEIGHT=45","0&amp;WIDTH=450&amp;START_MAXIMIZED=FALSE&amp;VAR:CALENDAR=US&amp;VAR:SYMBOL=14912310&amp;VAR:INDEX=0"}</definedName>
    <definedName name="_549__FDSAUDITLINK__">{"fdsup://directions/FAT Viewer?action=UPDATE&amp;creator=factset&amp;DYN_ARGS=TRUE&amp;DOC_NAME=FAT:FQL_AUDITING_CLIENT_TEMPLATE.FAT&amp;display_string=Audit&amp;VAR:KEY=ARKNILETUF&amp;VAR:QUERY=RkZfR1dfV0RPV04oQU5OLC05LDAsWSxSUCxMT0NBTCxNKQ==&amp;WINDOW=FIRST_POPUP&amp;HEIGHT=450&amp;WIDTH=","450&amp;START_MAXIMIZED=FALSE&amp;VAR:CALENDAR=US&amp;VAR:SYMBOL=14912310&amp;VAR:INDEX=0"}</definedName>
    <definedName name="_55__FDSAUDITLINK__">{"fdsup://directions/FAT Viewer?action=UPDATE&amp;creator=factset&amp;DYN_ARGS=TRUE&amp;DOC_NAME=FAT:FQL_AUDITING_CLIENT_TEMPLATE.FAT&amp;display_string=Audit&amp;VAR:KEY=MTEFGZITYH&amp;VAR:QUERY=RkZfRUJJVF9PUEVSKEFOTiwtOSwwLFksUlAsTE9DQUwsTSk=&amp;WINDOW=FIRST_POPUP&amp;HEIGHT=450&amp;WIDTH=","450&amp;START_MAXIMIZED=FALSE&amp;VAR:CALENDAR=US&amp;VAR:SYMBOL=14912310&amp;VAR:INDEX=9"}</definedName>
    <definedName name="_550__FDSAUDITLINK__">{"fdsup://directions/FAT Viewer?action=UPDATE&amp;creator=factset&amp;DYN_ARGS=TRUE&amp;DOC_NAME=FAT:FQL_AUDITING_CLIENT_TEMPLATE.FAT&amp;display_string=Audit&amp;VAR:KEY=NADQXIPQHU&amp;VAR:QUERY=RkZfUkVPUkdfUkVTVFJVQ1RfRVhQKEFOTiwtOSwwLFksUlAsTE9DQUwsTSk=&amp;WINDOW=FIRST_POPUP&amp;HEIGH","T=450&amp;WIDTH=450&amp;START_MAXIMIZED=FALSE&amp;VAR:CALENDAR=US&amp;VAR:SYMBOL=14912310&amp;VAR:INDEX=0"}</definedName>
    <definedName name="_551__FDSAUDITLINK__">{"fdsup://directions/FAT Viewer?action=UPDATE&amp;creator=factset&amp;DYN_ARGS=TRUE&amp;DOC_NAME=FAT:FQL_AUDITING_CLIENT_TEMPLATE.FAT&amp;display_string=Audit&amp;VAR:KEY=YPIHGJORSV&amp;VAR:QUERY=RkZfWENFUFRfUFJPVihBTk4sLTksMCxZLFJQLExPQ0FMLE0p&amp;WINDOW=FIRST_POPUP&amp;HEIGHT=450&amp;WIDTH=","450&amp;START_MAXIMIZED=FALSE&amp;VAR:CALENDAR=US&amp;VAR:SYMBOL=14912310&amp;VAR:INDEX=0"}</definedName>
    <definedName name="_552__FDSAUDITLINK__">{"fdsup://directions/FAT Viewer?action=UPDATE&amp;creator=factset&amp;DYN_ARGS=TRUE&amp;DOC_NAME=FAT:FQL_AUDITING_CLIENT_TEMPLATE.FAT&amp;display_string=Audit&amp;VAR:KEY=FAFKLSFCBA&amp;VAR:QUERY=RkZfRklOX0FTU0VUU19JTVBBSVIoQU5OLC05LDAsWSxSUCxMT0NBTCxNKQ==&amp;WINDOW=FIRST_POPUP&amp;HEIGH","T=450&amp;WIDTH=450&amp;START_MAXIMIZED=FALSE&amp;VAR:CALENDAR=US&amp;VAR:SYMBOL=14912310&amp;VAR:INDEX=0"}</definedName>
    <definedName name="_553__FDSAUDITLINK__">{"fdsup://directions/FAT Viewer?action=UPDATE&amp;creator=factset&amp;DYN_ARGS=TRUE&amp;DOC_NAME=FAT:FQL_AUDITING_CLIENT_TEMPLATE.FAT&amp;display_string=Audit&amp;VAR:KEY=KRULSXWFIJ&amp;VAR:QUERY=RkZfSU1QQUlSX1BQRShBTk4sLTksMCxZLFJQLExPQ0FMLE0p&amp;WINDOW=FIRST_POPUP&amp;HEIGHT=450&amp;WIDTH=","450&amp;START_MAXIMIZED=FALSE&amp;VAR:CALENDAR=US&amp;VAR:SYMBOL=14912310&amp;VAR:INDEX=0"}</definedName>
    <definedName name="_554__FDSAUDITLINK__">{"fdsup://directions/FAT Viewer?action=UPDATE&amp;creator=factset&amp;DYN_ARGS=TRUE&amp;DOC_NAME=FAT:FQL_AUDITING_CLIENT_TEMPLATE.FAT&amp;display_string=Audit&amp;VAR:KEY=BCHOFUPAHM&amp;VAR:QUERY=UENUQ0hHKEZGX0lOVF9FWFBfTkVUKEFOTiwtOSwwLFksUlAsTE9DQUwsTSksRkZfSU5UX0VYUF9ORVQoQU5OL","C0xLC05IC0gMSxZLFJQLExPQ0FMLE0pKQ==&amp;WINDOW=FIRST_POPUP&amp;HEIGHT=450&amp;WIDTH=450&amp;START_MAXIMIZED=FALSE&amp;VAR:CALENDAR=US&amp;VAR:SYMBOL=14912310&amp;VAR:INDEX=0"}</definedName>
    <definedName name="_555__FDSAUDITLINK__">{"fdsup://Directions/FactSet Auditing Viewer?action=AUDIT_VALUE&amp;DB=129&amp;ID1=14912310&amp;VALUEID=01255&amp;SDATE=2011&amp;PERIODTYPE=ANN_STD&amp;SCFT=3&amp;window=popup_no_bar&amp;width=385&amp;height=120&amp;START_MAXIMIZED=FALSE&amp;creator=factset&amp;display_string=Audit"}</definedName>
    <definedName name="_556__FDSAUDITLINK__">{"fdsup://Directions/FactSet Auditing Viewer?action=AUDIT_VALUE&amp;DB=129&amp;ID1=14912310&amp;VALUEID=01251&amp;SDATE=2011&amp;PERIODTYPE=ANN_STD&amp;SCFT=3&amp;window=popup_no_bar&amp;width=385&amp;height=120&amp;START_MAXIMIZED=FALSE&amp;creator=factset&amp;display_string=Audit"}</definedName>
    <definedName name="_557__FDSAUDITLINK__">{"fdsup://directions/FAT Viewer?action=UPDATE&amp;creator=factset&amp;DYN_ARGS=TRUE&amp;DOC_NAME=FAT:FQL_AUDITING_CLIENT_TEMPLATE.FAT&amp;display_string=Audit&amp;VAR:KEY=UZSJCHQNAZ&amp;VAR:QUERY=RkZfSU5UX0VYUF9ORVQoQU5OLC05LDAsWSxSUCxMT0NBTCxNKQ==&amp;WINDOW=FIRST_POPUP&amp;HEIGHT=450&amp;WI","DTH=450&amp;START_MAXIMIZED=FALSE&amp;VAR:CALENDAR=US&amp;VAR:SYMBOL=14912310&amp;VAR:INDEX=0"}</definedName>
    <definedName name="_558__FDSAUDITLINK__">{"fdsup://Directions/FactSet Auditing Viewer?action=AUDIT_VALUE&amp;DB=129&amp;ID1=14912310&amp;VALUEID=01266&amp;SDATE=2011&amp;PERIODTYPE=ANN_STD&amp;SCFT=3&amp;window=popup_no_bar&amp;width=385&amp;height=120&amp;START_MAXIMIZED=FALSE&amp;creator=factset&amp;display_string=Audit"}</definedName>
    <definedName name="_559__FDSAUDITLINK__">{"fdsup://directions/FAT Viewer?action=UPDATE&amp;creator=factset&amp;DYN_ARGS=TRUE&amp;DOC_NAME=FAT:FQL_AUDITING_CLIENT_TEMPLATE.FAT&amp;display_string=Audit&amp;VAR:KEY=FIFSJUTWFI&amp;VAR:QUERY=RkZfTk9OX09QRVJfSU5DKEFOTiwtOSwwLFksUlAsTE9DQUwsTSk=&amp;WINDOW=FIRST_POPUP&amp;HEIGHT=450&amp;WI","DTH=450&amp;START_MAXIMIZED=FALSE&amp;VAR:CALENDAR=US&amp;VAR:SYMBOL=14912310&amp;VAR:INDEX=0"}</definedName>
    <definedName name="_56__FDSAUDITLINK__">{"fdsup://directions/FAT Viewer?action=UPDATE&amp;creator=factset&amp;DYN_ARGS=TRUE&amp;DOC_NAME=FAT:FQL_AUDITING_CLIENT_TEMPLATE.FAT&amp;display_string=Audit&amp;VAR:KEY=MTEFGZITYH&amp;VAR:QUERY=RkZfRUJJVF9PUEVSKEFOTiwtOSwwLFksUlAsTE9DQUwsTSk=&amp;WINDOW=FIRST_POPUP&amp;HEIGHT=450&amp;WIDTH=","450&amp;START_MAXIMIZED=FALSE&amp;VAR:CALENDAR=US&amp;VAR:SYMBOL=14912310&amp;VAR:INDEX=8"}</definedName>
    <definedName name="_560__FDSAUDITLINK__">{"fdsup://directions/FAT Viewer?action=UPDATE&amp;creator=factset&amp;DYN_ARGS=TRUE&amp;DOC_NAME=FAT:FQL_AUDITING_CLIENT_TEMPLATE.FAT&amp;display_string=Audit&amp;VAR:KEY=ORCVWXUZKP&amp;VAR:QUERY=RkZfRUJJVF9PUEVSX01HTihBTk4sLTksMCxZLFJQLExPQ0FMLE0p&amp;WINDOW=FIRST_POPUP&amp;HEIGHT=450&amp;WI","DTH=450&amp;START_MAXIMIZED=FALSE&amp;VAR:CALENDAR=US&amp;VAR:SYMBOL=14912310&amp;VAR:INDEX=0"}</definedName>
    <definedName name="_561__FDSAUDITLINK__">{"fdsup://directions/FAT Viewer?action=UPDATE&amp;creator=factset&amp;DYN_ARGS=TRUE&amp;DOC_NAME=FAT:FQL_AUDITING_CLIENT_TEMPLATE.FAT&amp;display_string=Audit&amp;VAR:KEY=HUPOVUZWLQ&amp;VAR:QUERY=UENUQ0hHKEZGX0VCSVRfT1BFUihBTk4sLTksMCxZLFJQLExPQ0FMLE0pLEZGX0VCSVRfT1BFUihBTk4sLTEsL","TkgLSAxLFksUlAsTE9DQUwsTSkp&amp;WINDOW=FIRST_POPUP&amp;HEIGHT=450&amp;WIDTH=450&amp;START_MAXIMIZED=FALSE&amp;VAR:CALENDAR=US&amp;VAR:SYMBOL=14912310&amp;VAR:INDEX=0"}</definedName>
    <definedName name="_562__FDSAUDITLINK__">{"fdsup://directions/FAT Viewer?action=UPDATE&amp;creator=factset&amp;DYN_ARGS=TRUE&amp;DOC_NAME=FAT:FQL_AUDITING_CLIENT_TEMPLATE.FAT&amp;display_string=Audit&amp;VAR:KEY=MTEFGZITYH&amp;VAR:QUERY=RkZfRUJJVF9PUEVSKEFOTiwtOSwwLFksUlAsTE9DQUwsTSk=&amp;WINDOW=FIRST_POPUP&amp;HEIGHT=450&amp;WIDTH=","450&amp;START_MAXIMIZED=FALSE&amp;VAR:CALENDAR=US&amp;VAR:SYMBOL=14912310&amp;VAR:INDEX=0"}</definedName>
    <definedName name="_563__FDSAUDITLINK__">{"fdsup://directions/FAT Viewer?action=UPDATE&amp;creator=factset&amp;DYN_ARGS=TRUE&amp;DOC_NAME=FAT:FQL_AUDITING_CLIENT_TEMPLATE.FAT&amp;display_string=Audit&amp;VAR:KEY=IJGHKXSDWN&amp;VAR:QUERY=RkZfU0dBX1NBTEVTKEFOTiwtOSwwLFksUlAp&amp;WINDOW=FIRST_POPUP&amp;HEIGHT=450&amp;WIDTH=450&amp;START_MA","XIMIZED=FALSE&amp;VAR:CALENDAR=US&amp;VAR:SYMBOL=14912310&amp;VAR:INDEX=0"}</definedName>
    <definedName name="_564__FDSAUDITLINK__">{"fdsup://directions/FAT Viewer?action=UPDATE&amp;creator=factset&amp;DYN_ARGS=TRUE&amp;DOC_NAME=FAT:FQL_AUDITING_CLIENT_TEMPLATE.FAT&amp;display_string=Audit&amp;VAR:KEY=HEVEDKDWDW&amp;VAR:QUERY=UENUQ0hHKEZGX1NHQShBTk4sLTksMCxZLFJQLExPQ0FMLE0pLEZGX1NHQShBTk4sLTEsLTkgLSAxLFksUlAsT","E9DQUwsTSkp&amp;WINDOW=FIRST_POPUP&amp;HEIGHT=450&amp;WIDTH=450&amp;START_MAXIMIZED=FALSE&amp;VAR:CALENDAR=US&amp;VAR:SYMBOL=14912310&amp;VAR:INDEX=0"}</definedName>
    <definedName name="_565__FDSAUDITLINK__">{"fdsup://Directions/FactSet Auditing Viewer?action=AUDIT_VALUE&amp;DB=129&amp;ID1=14912310&amp;VALUEID=01202&amp;SDATE=2011&amp;PERIODTYPE=ANN_STD&amp;SCFT=3&amp;window=popup_no_bar&amp;width=385&amp;height=120&amp;START_MAXIMIZED=FALSE&amp;creator=factset&amp;display_string=Audit"}</definedName>
    <definedName name="_566__FDSAUDITLINK__">{"fdsup://Directions/FactSet Auditing Viewer?action=AUDIT_VALUE&amp;DB=129&amp;ID1=14912310&amp;VALUEID=01201&amp;SDATE=2011&amp;PERIODTYPE=ANN_STD&amp;SCFT=3&amp;window=popup_no_bar&amp;width=385&amp;height=120&amp;START_MAXIMIZED=FALSE&amp;creator=factset&amp;display_string=Audit"}</definedName>
    <definedName name="_567__FDSAUDITLINK__">{"fdsup://directions/FAT Viewer?action=UPDATE&amp;creator=factset&amp;DYN_ARGS=TRUE&amp;DOC_NAME=FAT:FQL_AUDITING_CLIENT_TEMPLATE.FAT&amp;display_string=Audit&amp;VAR:KEY=UDIFENMPUT&amp;VAR:QUERY=RkZfU0dBKEFOTiwtOSwwLFksUlAsTE9DQUwsTSk=&amp;WINDOW=FIRST_POPUP&amp;HEIGHT=450&amp;WIDTH=450&amp;STAR","T_MAXIMIZED=FALSE&amp;VAR:CALENDAR=US&amp;VAR:SYMBOL=14912310&amp;VAR:INDEX=0"}</definedName>
    <definedName name="_568__FDSAUDITLINK__">{"fdsup://directions/FAT Viewer?action=UPDATE&amp;creator=factset&amp;DYN_ARGS=TRUE&amp;DOC_NAME=FAT:FQL_AUDITING_CLIENT_TEMPLATE.FAT&amp;display_string=Audit&amp;VAR:KEY=LCNUDEHWTS&amp;VAR:QUERY=RkZfR1JPU1NfTUdOKEFOTiwtOSwwLFksUlAsTE9DQUwsTSk=&amp;WINDOW=FIRST_POPUP&amp;HEIGHT=450&amp;WIDTH=","450&amp;START_MAXIMIZED=FALSE&amp;VAR:CALENDAR=US&amp;VAR:SYMBOL=14912310&amp;VAR:INDEX=0"}</definedName>
    <definedName name="_569__FDSAUDITLINK__">{"fdsup://directions/FAT Viewer?action=UPDATE&amp;creator=factset&amp;DYN_ARGS=TRUE&amp;DOC_NAME=FAT:FQL_AUDITING_CLIENT_TEMPLATE.FAT&amp;display_string=Audit&amp;VAR:KEY=UJCFKFENYH&amp;VAR:QUERY=UENUQ0hHKEZGX0dST1NTX0lOQyhBTk4sLTksMCxZLFJQLExPQ0FMLE0pLEZGX0dST1NTX0lOQyhBTk4sLTEsL","TkgLSAxLFksUlAsTE9DQUwsTSkp&amp;WINDOW=FIRST_POPUP&amp;HEIGHT=450&amp;WIDTH=450&amp;START_MAXIMIZED=FALSE&amp;VAR:CALENDAR=US&amp;VAR:SYMBOL=14912310&amp;VAR:INDEX=0"}</definedName>
    <definedName name="_57__FDSAUDITLINK__">{"fdsup://directions/FAT Viewer?action=UPDATE&amp;creator=factset&amp;DYN_ARGS=TRUE&amp;DOC_NAME=FAT:FQL_AUDITING_CLIENT_TEMPLATE.FAT&amp;display_string=Audit&amp;VAR:KEY=TOHYFWHMFK&amp;VAR:QUERY=RkZfU0hMRFJTX0VRKEFOTiwtOSwwLFksUlAsTE9DQUwsTSk=&amp;WINDOW=FIRST_POPUP&amp;HEIGHT=450&amp;WIDTH=","450&amp;START_MAXIMIZED=FALSE&amp;VAR:CALENDAR=US&amp;VAR:SYMBOL=14912310&amp;VAR:INDEX=9"}</definedName>
    <definedName name="_570__FDSAUDITLINK__">{"fdsup://directions/FAT Viewer?action=UPDATE&amp;creator=factset&amp;DYN_ARGS=TRUE&amp;DOC_NAME=FAT:FQL_AUDITING_CLIENT_TEMPLATE.FAT&amp;display_string=Audit&amp;VAR:KEY=XWTMJGBAPG&amp;VAR:QUERY=RkZfR1JPU1NfSU5DKEFOTiwtOSwwLFksUlAsTE9DQUwsTSk=&amp;WINDOW=FIRST_POPUP&amp;HEIGHT=450&amp;WIDTH=","450&amp;START_MAXIMIZED=FALSE&amp;VAR:CALENDAR=US&amp;VAR:SYMBOL=14912310&amp;VAR:INDEX=0"}</definedName>
    <definedName name="_571__FDSAUDITLINK__">{"fdsup://directions/FAT Viewer?action=UPDATE&amp;creator=factset&amp;DYN_ARGS=TRUE&amp;DOC_NAME=FAT:FQL_AUDITING_CLIENT_TEMPLATE.FAT&amp;display_string=Audit&amp;VAR:KEY=QREVWLSHMX&amp;VAR:QUERY=UENUQ0hHKEZGX0NPR1MoQU5OLC05LDAsWSxSUCxMT0NBTCxNKSxGRl9DT0dTKEFOTiwtMSwtOSAtIDEsWSxSU","CxMT0NBTCxNKSk=&amp;WINDOW=FIRST_POPUP&amp;HEIGHT=450&amp;WIDTH=450&amp;START_MAXIMIZED=FALSE&amp;VAR:CALENDAR=US&amp;VAR:SYMBOL=14912310&amp;VAR:INDEX=0"}</definedName>
    <definedName name="_572__FDSAUDITLINK__">{"fdsup://Directions/FactSet Auditing Viewer?action=AUDIT_VALUE&amp;DB=129&amp;ID1=14912310&amp;VALUEID=01149&amp;SDATE=2011&amp;PERIODTYPE=ANN_STD&amp;SCFT=3&amp;window=popup_no_bar&amp;width=385&amp;height=120&amp;START_MAXIMIZED=FALSE&amp;creator=factset&amp;display_string=Audit"}</definedName>
    <definedName name="_573__FDSAUDITLINK__">{"fdsup://Directions/FactSet Auditing Viewer?action=AUDIT_VALUE&amp;DB=129&amp;ID1=14912310&amp;VALUEID=01148&amp;SDATE=2011&amp;PERIODTYPE=ANN_STD&amp;SCFT=3&amp;window=popup_no_bar&amp;width=385&amp;height=120&amp;START_MAXIMIZED=FALSE&amp;creator=factset&amp;display_string=Audit"}</definedName>
    <definedName name="_574__FDSAUDITLINK__">{"fdsup://Directions/FactSet Auditing Viewer?action=AUDIT_VALUE&amp;DB=129&amp;ID1=14912310&amp;VALUEID=01151&amp;SDATE=2011&amp;PERIODTYPE=ANN_STD&amp;SCFT=3&amp;window=popup_no_bar&amp;width=385&amp;height=120&amp;START_MAXIMIZED=FALSE&amp;creator=factset&amp;display_string=Audit"}</definedName>
    <definedName name="_575__FDSAUDITLINK__">{"fdsup://Directions/FactSet Auditing Viewer?action=AUDIT_VALUE&amp;DB=129&amp;ID1=14912310&amp;VALUEID=01051&amp;SDATE=2011&amp;PERIODTYPE=ANN_STD&amp;SCFT=3&amp;window=popup_no_bar&amp;width=385&amp;height=120&amp;START_MAXIMIZED=FALSE&amp;creator=factset&amp;display_string=Audit"}</definedName>
    <definedName name="_576__FDSAUDITLINK__">{"fdsup://directions/FAT Viewer?action=UPDATE&amp;creator=factset&amp;DYN_ARGS=TRUE&amp;DOC_NAME=FAT:FQL_AUDITING_CLIENT_TEMPLATE.FAT&amp;display_string=Audit&amp;VAR:KEY=CNYVSLWXWJ&amp;VAR:QUERY=RkZfQ09HUyhBTk4sLTksMCxZLFJQLExPQ0FMLE0p&amp;WINDOW=FIRST_POPUP&amp;HEIGHT=450&amp;WIDTH=450&amp;STAR","T_MAXIMIZED=FALSE&amp;VAR:CALENDAR=US&amp;VAR:SYMBOL=14912310&amp;VAR:INDEX=0"}</definedName>
    <definedName name="_577__FDSAUDITLINK__">{"fdsup://directions/FAT Viewer?action=UPDATE&amp;creator=factset&amp;DYN_ARGS=TRUE&amp;DOC_NAME=FAT:FQL_AUDITING_CLIENT_TEMPLATE.FAT&amp;display_string=Audit&amp;VAR:KEY=PUPWZCVKPM&amp;VAR:QUERY=UENUQ0hHKEZGX1NBTEVTKEFOTiwtOSwwLFksUlAsTE9DQUwsTSksRkZfU0FMRVMoQU5OLC0xLC05IC0gMSxZL","FJQLExPQ0FMLE0pKQ==&amp;WINDOW=FIRST_POPUP&amp;HEIGHT=450&amp;WIDTH=450&amp;START_MAXIMIZED=FALSE&amp;VAR:CALENDAR=US&amp;VAR:SYMBOL=14912310&amp;VAR:INDEX=0"}</definedName>
    <definedName name="_578__FDSAUDITLINK__">{"fdsup://Directions/FactSet Auditing Viewer?action=AUDIT_VALUE&amp;DB=129&amp;ID1=14912310&amp;VALUEID=01001&amp;SDATE=2011&amp;PERIODTYPE=ANN_STD&amp;SCFT=3&amp;window=popup_no_bar&amp;width=385&amp;height=120&amp;START_MAXIMIZED=FALSE&amp;creator=factset&amp;display_string=Audit"}</definedName>
    <definedName name="_579__FDSAUDITLINK__">{"fdsup://Directions/FactSet Auditing Viewer?action=AUDIT_VALUE&amp;DB=129&amp;ID1=14912310&amp;VALUEID=05194&amp;SDATE=2010&amp;PERIODTYPE=ANN_STD&amp;SCFT=3&amp;window=popup_no_bar&amp;width=385&amp;height=120&amp;START_MAXIMIZED=FALSE&amp;creator=factset&amp;display_string=Audit"}</definedName>
    <definedName name="_58__FDSAUDITLINK__">{"fdsup://directions/FAT Viewer?action=UPDATE&amp;creator=factset&amp;DYN_ARGS=TRUE&amp;DOC_NAME=FAT:FQL_AUDITING_CLIENT_TEMPLATE.FAT&amp;display_string=Audit&amp;VAR:KEY=TOHYFWHMFK&amp;VAR:QUERY=RkZfU0hMRFJTX0VRKEFOTiwtOSwwLFksUlAsTE9DQUwsTSk=&amp;WINDOW=FIRST_POPUP&amp;HEIGHT=450&amp;WIDTH=","450&amp;START_MAXIMIZED=FALSE&amp;VAR:CALENDAR=US&amp;VAR:SYMBOL=14912310&amp;VAR:INDEX=8"}</definedName>
    <definedName name="_580__FDSAUDITLINK__">{"fdsup://Directions/FactSet Auditing Viewer?action=AUDIT_VALUE&amp;DB=129&amp;ID1=14912310&amp;VALUEID=05192&amp;SDATE=2010&amp;PERIODTYPE=ANN_STD&amp;SCFT=3&amp;window=popup_no_bar&amp;width=385&amp;height=120&amp;START_MAXIMIZED=FALSE&amp;creator=factset&amp;display_string=Audit"}</definedName>
    <definedName name="_581__FDSAUDITLINK__">{"fdsup://Directions/FactSet Auditing Viewer?action=AUDIT_VALUE&amp;DB=129&amp;ID1=14912310&amp;VALUEID=01352&amp;SDATE=2010&amp;PERIODTYPE=ANN_STD&amp;SCFT=3&amp;window=popup_no_bar&amp;width=385&amp;height=120&amp;START_MAXIMIZED=FALSE&amp;creator=factset&amp;display_string=Audit"}</definedName>
    <definedName name="_582__FDSAUDITLINK__">{"fdsup://Directions/FactSet Auditing Viewer?action=AUDIT_VALUE&amp;DB=129&amp;ID1=14912310&amp;VALUEID=01352&amp;SDATE=2005&amp;PERIODTYPE=ANN_STD&amp;SCFT=3&amp;window=popup_no_bar&amp;width=385&amp;height=120&amp;START_MAXIMIZED=FALSE&amp;creator=factset&amp;display_string=Audit"}</definedName>
    <definedName name="_583__FDSAUDITLINK__">{"fdsup://Directions/FactSet Auditing Viewer?action=AUDIT_VALUE&amp;DB=129&amp;ID1=14912310&amp;VALUEID=18140&amp;SDATE=2010&amp;PERIODTYPE=ANN_STD&amp;SCFT=3&amp;window=popup_no_bar&amp;width=385&amp;height=120&amp;START_MAXIMIZED=FALSE&amp;creator=factset&amp;display_string=Audit"}</definedName>
    <definedName name="_584__FDSAUDITLINK__">{"fdsup://Directions/FactSet Auditing Viewer?action=AUDIT_VALUE&amp;DB=129&amp;ID1=14912310&amp;VALUEID=18140&amp;SDATE=2005&amp;PERIODTYPE=ANN_STD&amp;SCFT=3&amp;window=popup_no_bar&amp;width=385&amp;height=120&amp;START_MAXIMIZED=FALSE&amp;creator=factset&amp;display_string=Audit"}</definedName>
    <definedName name="_585__FDSAUDITLINK__">{"fdsup://Directions/FactSet Auditing Viewer?action=AUDIT_VALUE&amp;DB=129&amp;ID1=14912310&amp;VALUEID=18321&amp;SDATE=2010&amp;PERIODTYPE=ANN_STD&amp;SCFT=3&amp;window=popup_no_bar&amp;width=385&amp;height=120&amp;START_MAXIMIZED=FALSE&amp;creator=factset&amp;display_string=Audit"}</definedName>
    <definedName name="_586__FDSAUDITLINK__">{"fdsup://Directions/FactSet Auditing Viewer?action=AUDIT_VALUE&amp;DB=129&amp;ID1=14912310&amp;VALUEID=18321&amp;SDATE=2009&amp;PERIODTYPE=ANN_STD&amp;SCFT=3&amp;window=popup_no_bar&amp;width=385&amp;height=120&amp;START_MAXIMIZED=FALSE&amp;creator=factset&amp;display_string=Audit"}</definedName>
    <definedName name="_587__FDSAUDITLINK__">{"fdsup://Directions/FactSet Auditing Viewer?action=AUDIT_VALUE&amp;DB=129&amp;ID1=14912310&amp;VALUEID=18321&amp;SDATE=2007&amp;PERIODTYPE=ANN_STD&amp;SCFT=3&amp;window=popup_no_bar&amp;width=385&amp;height=120&amp;START_MAXIMIZED=FALSE&amp;creator=factset&amp;display_string=Audit"}</definedName>
    <definedName name="_588__FDSAUDITLINK__">{"fdsup://Directions/FactSet Auditing Viewer?action=AUDIT_VALUE&amp;DB=129&amp;ID1=14912310&amp;VALUEID=01151&amp;SDATE=2010&amp;PERIODTYPE=ANN_STD&amp;SCFT=3&amp;window=popup_no_bar&amp;width=385&amp;height=120&amp;START_MAXIMIZED=FALSE&amp;creator=factset&amp;display_string=Audit"}</definedName>
    <definedName name="_589__FDSAUDITLINK__">{"fdsup://Directions/FactSet Auditing Viewer?action=AUDIT_VALUE&amp;DB=129&amp;ID1=14912310&amp;VALUEID=10010&amp;SDATE=2010&amp;PERIODTYPE=ANN_STD&amp;SCFT=3&amp;window=popup_no_bar&amp;width=385&amp;height=120&amp;START_MAXIMIZED=FALSE&amp;creator=factset&amp;display_string=Audit"}</definedName>
    <definedName name="_59__FDSAUDITLINK__">{"fdsup://directions/FAT Viewer?action=UPDATE&amp;creator=factset&amp;DYN_ARGS=TRUE&amp;DOC_NAME=FAT:FQL_AUDITING_CLIENT_TEMPLATE.FAT&amp;display_string=Audit&amp;VAR:KEY=TOHYFWHMFK&amp;VAR:QUERY=RkZfU0hMRFJTX0VRKEFOTiwtOSwwLFksUlAsTE9DQUwsTSk=&amp;WINDOW=FIRST_POPUP&amp;HEIGHT=450&amp;WIDTH=","450&amp;START_MAXIMIZED=FALSE&amp;VAR:CALENDAR=US&amp;VAR:SYMBOL=14912310&amp;VAR:INDEX=7"}</definedName>
    <definedName name="_590__FDSAUDITLINK__">{"fdsup://Directions/FactSet Auditing Viewer?action=AUDIT_VALUE&amp;DB=129&amp;ID1=14912310&amp;VALUEID=01501&amp;SDATE=2010&amp;PERIODTYPE=ANN_STD&amp;SCFT=3&amp;window=popup_no_bar&amp;width=385&amp;height=120&amp;START_MAXIMIZED=FALSE&amp;creator=factset&amp;display_string=Audit"}</definedName>
    <definedName name="_591__FDSAUDITLINK__">{"fdsup://Directions/FactSet Auditing Viewer?action=AUDIT_VALUE&amp;DB=129&amp;ID1=14912310&amp;VALUEID=01501&amp;SDATE=2009&amp;PERIODTYPE=ANN_STD&amp;SCFT=3&amp;window=popup_no_bar&amp;width=385&amp;height=120&amp;START_MAXIMIZED=FALSE&amp;creator=factset&amp;display_string=Audit"}</definedName>
    <definedName name="_592__FDSAUDITLINK__">{"fdsup://Directions/FactSet Auditing Viewer?action=AUDIT_VALUE&amp;DB=129&amp;ID1=14912310&amp;VALUEID=01503&amp;SDATE=2010&amp;PERIODTYPE=ANN_STD&amp;SCFT=3&amp;window=popup_no_bar&amp;width=385&amp;height=120&amp;START_MAXIMIZED=FALSE&amp;creator=factset&amp;display_string=Audit"}</definedName>
    <definedName name="_593__FDSAUDITLINK__">{"fdsup://Directions/FactSet Auditing Viewer?action=AUDIT_VALUE&amp;DB=129&amp;ID1=14912310&amp;VALUEID=18189&amp;SDATE=2010&amp;PERIODTYPE=ANN_STD&amp;SCFT=3&amp;window=popup_no_bar&amp;width=385&amp;height=120&amp;START_MAXIMIZED=FALSE&amp;creator=factset&amp;display_string=Audit"}</definedName>
    <definedName name="_594__FDSAUDITLINK__">{"fdsup://Directions/FactSet Auditing Viewer?action=AUDIT_VALUE&amp;DB=129&amp;ID1=14912310&amp;VALUEID=18189&amp;SDATE=2005&amp;PERIODTYPE=ANN_STD&amp;SCFT=3&amp;window=popup_no_bar&amp;width=385&amp;height=120&amp;START_MAXIMIZED=FALSE&amp;creator=factset&amp;display_string=Audit"}</definedName>
    <definedName name="_595__FDSAUDITLINK__">{"fdsup://Directions/FactSet Auditing Viewer?action=AUDIT_VALUE&amp;DB=129&amp;ID1=14912310&amp;VALUEID=18188&amp;SDATE=2010&amp;PERIODTYPE=ANN_STD&amp;SCFT=3&amp;window=popup_no_bar&amp;width=385&amp;height=120&amp;START_MAXIMIZED=FALSE&amp;creator=factset&amp;display_string=Audit"}</definedName>
    <definedName name="_596__FDSAUDITLINK__">{"fdsup://Directions/FactSet Auditing Viewer?action=AUDIT_VALUE&amp;DB=129&amp;ID1=14912310&amp;VALUEID=18188&amp;SDATE=2005&amp;PERIODTYPE=ANN_STD&amp;SCFT=3&amp;window=popup_no_bar&amp;width=385&amp;height=120&amp;START_MAXIMIZED=FALSE&amp;creator=factset&amp;display_string=Audit"}</definedName>
    <definedName name="_597__FDSAUDITLINK__">{"fdsup://Directions/FactSet Auditing Viewer?action=AUDIT_VALUE&amp;DB=129&amp;ID1=14912310&amp;VALUEID=18187&amp;SDATE=2010&amp;PERIODTYPE=ANN_STD&amp;SCFT=3&amp;window=popup_no_bar&amp;width=385&amp;height=120&amp;START_MAXIMIZED=FALSE&amp;creator=factset&amp;display_string=Audit"}</definedName>
    <definedName name="_598__FDSAUDITLINK__">{"fdsup://Directions/FactSet Auditing Viewer?action=AUDIT_VALUE&amp;DB=129&amp;ID1=14912310&amp;VALUEID=18187&amp;SDATE=2005&amp;PERIODTYPE=ANN_STD&amp;SCFT=3&amp;window=popup_no_bar&amp;width=385&amp;height=120&amp;START_MAXIMIZED=FALSE&amp;creator=factset&amp;display_string=Audit"}</definedName>
    <definedName name="_599__FDSAUDITLINK__">{"fdsup://Directions/FactSet Auditing Viewer?action=AUDIT_VALUE&amp;DB=129&amp;ID1=14912310&amp;VALUEID=18186&amp;SDATE=2010&amp;PERIODTYPE=ANN_STD&amp;SCFT=3&amp;window=popup_no_bar&amp;width=385&amp;height=120&amp;START_MAXIMIZED=FALSE&amp;creator=factset&amp;display_string=Audit"}</definedName>
    <definedName localSheetId="0" name="_6__123Graph_APBI_USA">'[1]Base diaria'!#REF!</definedName>
    <definedName name="_6__123Graph_APBI_USA">'[1]Base diaria'!#REF!</definedName>
    <definedName localSheetId="0" name="_6__123Graph_BCHART_3">'[17]Historical IS'!#REF!</definedName>
    <definedName name="_6__123Graph_BCHART_3">'[17]Historical IS'!#REF!</definedName>
    <definedName name="_6__123Graph_BChart_58B">'[18]Graph 1'!$C$9:$C$60</definedName>
    <definedName localSheetId="0" name="_6__123Graph_BCRECIM">'[1]Base diaria'!#REF!</definedName>
    <definedName name="_6__123Graph_BCRECIM">'[1]Base diaria'!#REF!</definedName>
    <definedName name="_6__123Graph_FChart_1A">[15]A!$C$102:$Q$102</definedName>
    <definedName localSheetId="0" name="_6__123Graph_XPBI_USA">'[1]Base diaria'!#REF!</definedName>
    <definedName name="_6__123Graph_XPBI_USA">'[1]Base diaria'!#REF!</definedName>
    <definedName name="_6__FDSAUDITLINK__">{"fdsup://directions/FAT Viewer?action=UPDATE&amp;creator=factset&amp;DYN_ARGS=TRUE&amp;DOC_NAME=FAT:FQL_AUDITING_CLIENT_TEMPLATE.FAT&amp;display_string=Audit&amp;VAR:KEY=YVQJGZGTCP&amp;VAR:QUERY=RkZfQlBTX1RBTkcoQU5OLC05LDAsWSxSUCxMT0NBTCxNKQ==&amp;WINDOW=FIRST_POPUP&amp;HEIGHT=450&amp;WIDTH=","450&amp;START_MAXIMIZED=FALSE&amp;VAR:CALENDAR=US&amp;VAR:SYMBOL=14912310&amp;VAR:INDEX=4"}</definedName>
    <definedName name="_60__FDSAUDITLINK__">{"fdsup://directions/FAT Viewer?action=UPDATE&amp;creator=factset&amp;DYN_ARGS=TRUE&amp;DOC_NAME=FAT:FQL_AUDITING_CLIENT_TEMPLATE.FAT&amp;display_string=Audit&amp;VAR:KEY=TOHYFWHMFK&amp;VAR:QUERY=RkZfU0hMRFJTX0VRKEFOTiwtOSwwLFksUlAsTE9DQUwsTSk=&amp;WINDOW=FIRST_POPUP&amp;HEIGHT=450&amp;WIDTH=","450&amp;START_MAXIMIZED=FALSE&amp;VAR:CALENDAR=US&amp;VAR:SYMBOL=14912310&amp;VAR:INDEX=6"}</definedName>
    <definedName name="_600__FDSAUDITLINK__">{"fdsup://Directions/FactSet Auditing Viewer?action=AUDIT_VALUE&amp;DB=129&amp;ID1=14912310&amp;VALUEID=18186&amp;SDATE=2005&amp;PERIODTYPE=ANN_STD&amp;SCFT=3&amp;window=popup_no_bar&amp;width=385&amp;height=120&amp;START_MAXIMIZED=FALSE&amp;creator=factset&amp;display_string=Audit"}</definedName>
    <definedName name="_601__FDSAUDITLINK__">{"fdsup://Directions/FactSet Auditing Viewer?action=AUDIT_VALUE&amp;DB=129&amp;ID1=14912310&amp;VALUEID=01451&amp;SDATE=2010&amp;PERIODTYPE=ANN_STD&amp;SCFT=3&amp;window=popup_no_bar&amp;width=385&amp;height=120&amp;START_MAXIMIZED=FALSE&amp;creator=factset&amp;display_string=Audit"}</definedName>
    <definedName name="_602__FDSAUDITLINK__">{"fdsup://Directions/FactSet Auditing Viewer?action=AUDIT_VALUE&amp;DB=129&amp;ID1=14912310&amp;VALUEID=01401&amp;SDATE=2010&amp;PERIODTYPE=ANN_STD&amp;SCFT=3&amp;window=popup_no_bar&amp;width=385&amp;height=120&amp;START_MAXIMIZED=FALSE&amp;creator=factset&amp;display_string=Audit"}</definedName>
    <definedName name="_603__FDSAUDITLINK__">{"fdsup://Directions/FactSet Auditing Viewer?action=AUDIT_VALUE&amp;DB=129&amp;ID1=14912310&amp;VALUEID=01255&amp;SDATE=2010&amp;PERIODTYPE=ANN_STD&amp;SCFT=3&amp;window=popup_no_bar&amp;width=385&amp;height=120&amp;START_MAXIMIZED=FALSE&amp;creator=factset&amp;display_string=Audit"}</definedName>
    <definedName name="_604__FDSAUDITLINK__">{"fdsup://Directions/FactSet Auditing Viewer?action=AUDIT_VALUE&amp;DB=129&amp;ID1=14912310&amp;VALUEID=01255&amp;SDATE=2009&amp;PERIODTYPE=ANN_STD&amp;SCFT=3&amp;window=popup_no_bar&amp;width=385&amp;height=120&amp;START_MAXIMIZED=FALSE&amp;creator=factset&amp;display_string=Audit"}</definedName>
    <definedName name="_605__FDSAUDITLINK__">{"fdsup://Directions/FactSet Auditing Viewer?action=AUDIT_VALUE&amp;DB=129&amp;ID1=14912310&amp;VALUEID=01255&amp;SDATE=2007&amp;PERIODTYPE=ANN_STD&amp;SCFT=3&amp;window=popup_no_bar&amp;width=385&amp;height=120&amp;START_MAXIMIZED=FALSE&amp;creator=factset&amp;display_string=Audit"}</definedName>
    <definedName name="_606__FDSAUDITLINK__">{"fdsup://Directions/FactSet Auditing Viewer?action=AUDIT_VALUE&amp;DB=129&amp;ID1=14912310&amp;VALUEID=01251&amp;SDATE=2010&amp;PERIODTYPE=ANN_STD&amp;SCFT=3&amp;window=popup_no_bar&amp;width=385&amp;height=120&amp;START_MAXIMIZED=FALSE&amp;creator=factset&amp;display_string=Audit"}</definedName>
    <definedName name="_607__FDSAUDITLINK__">{"fdsup://Directions/FactSet Auditing Viewer?action=AUDIT_VALUE&amp;DB=129&amp;ID1=14912310&amp;VALUEID=01251&amp;SDATE=2005&amp;PERIODTYPE=ANN_STD&amp;SCFT=3&amp;window=popup_no_bar&amp;width=385&amp;height=120&amp;START_MAXIMIZED=FALSE&amp;creator=factset&amp;display_string=Audit"}</definedName>
    <definedName name="_608__FDSAUDITLINK__">{"fdsup://Directions/FactSet Auditing Viewer?action=AUDIT_VALUE&amp;DB=129&amp;ID1=14912310&amp;VALUEID=01266&amp;SDATE=2010&amp;PERIODTYPE=ANN_STD&amp;SCFT=3&amp;window=popup_no_bar&amp;width=385&amp;height=120&amp;START_MAXIMIZED=FALSE&amp;creator=factset&amp;display_string=Audit"}</definedName>
    <definedName name="_609__FDSAUDITLINK__">{"fdsup://Directions/FactSet Auditing Viewer?action=AUDIT_VALUE&amp;DB=129&amp;ID1=14912310&amp;VALUEID=01266&amp;SDATE=2005&amp;PERIODTYPE=ANN_STD&amp;SCFT=3&amp;window=popup_no_bar&amp;width=385&amp;height=120&amp;START_MAXIMIZED=FALSE&amp;creator=factset&amp;display_string=Audit"}</definedName>
    <definedName name="_61__FDSAUDITLINK__">{"fdsup://directions/FAT Viewer?action=UPDATE&amp;creator=factset&amp;DYN_ARGS=TRUE&amp;DOC_NAME=FAT:FQL_AUDITING_CLIENT_TEMPLATE.FAT&amp;display_string=Audit&amp;VAR:KEY=TOHYFWHMFK&amp;VAR:QUERY=RkZfU0hMRFJTX0VRKEFOTiwtOSwwLFksUlAsTE9DQUwsTSk=&amp;WINDOW=FIRST_POPUP&amp;HEIGHT=450&amp;WIDTH=","450&amp;START_MAXIMIZED=FALSE&amp;VAR:CALENDAR=US&amp;VAR:SYMBOL=14912310&amp;VAR:INDEX=5"}</definedName>
    <definedName name="_610__FDSAUDITLINK__">{"fdsup://Directions/FactSet Auditing Viewer?action=AUDIT_VALUE&amp;DB=129&amp;ID1=14912310&amp;VALUEID=01202&amp;SDATE=2010&amp;PERIODTYPE=ANN_STD&amp;SCFT=3&amp;window=popup_no_bar&amp;width=385&amp;height=120&amp;START_MAXIMIZED=FALSE&amp;creator=factset&amp;display_string=Audit"}</definedName>
    <definedName name="_611__FDSAUDITLINK__">{"fdsup://Directions/FactSet Auditing Viewer?action=AUDIT_VALUE&amp;DB=129&amp;ID1=14912310&amp;VALUEID=01202&amp;SDATE=2005&amp;PERIODTYPE=ANN_STD&amp;SCFT=3&amp;window=popup_no_bar&amp;width=385&amp;height=120&amp;START_MAXIMIZED=FALSE&amp;creator=factset&amp;display_string=Audit"}</definedName>
    <definedName name="_612__FDSAUDITLINK__">{"fdsup://Directions/FactSet Auditing Viewer?action=AUDIT_VALUE&amp;DB=129&amp;ID1=14912310&amp;VALUEID=01201&amp;SDATE=2010&amp;PERIODTYPE=ANN_STD&amp;SCFT=3&amp;window=popup_no_bar&amp;width=385&amp;height=120&amp;START_MAXIMIZED=FALSE&amp;creator=factset&amp;display_string=Audit"}</definedName>
    <definedName name="_613__FDSAUDITLINK__">{"fdsup://Directions/FactSet Auditing Viewer?action=AUDIT_VALUE&amp;DB=129&amp;ID1=14912310&amp;VALUEID=01149&amp;SDATE=2010&amp;PERIODTYPE=ANN_STD&amp;SCFT=3&amp;window=popup_no_bar&amp;width=385&amp;height=120&amp;START_MAXIMIZED=FALSE&amp;creator=factset&amp;display_string=Audit"}</definedName>
    <definedName name="_614__FDSAUDITLINK__">{"fdsup://Directions/FactSet Auditing Viewer?action=AUDIT_VALUE&amp;DB=129&amp;ID1=14912310&amp;VALUEID=01148&amp;SDATE=2010&amp;PERIODTYPE=ANN_STD&amp;SCFT=3&amp;window=popup_no_bar&amp;width=385&amp;height=120&amp;START_MAXIMIZED=FALSE&amp;creator=factset&amp;display_string=Audit"}</definedName>
    <definedName name="_615__FDSAUDITLINK__">{"fdsup://Directions/FactSet Auditing Viewer?action=AUDIT_VALUE&amp;DB=129&amp;ID1=14912310&amp;VALUEID=01151&amp;SDATE=2010&amp;PERIODTYPE=ANN_STD&amp;SCFT=3&amp;window=popup_no_bar&amp;width=385&amp;height=120&amp;START_MAXIMIZED=FALSE&amp;creator=factset&amp;display_string=Audit"}</definedName>
    <definedName name="_616__FDSAUDITLINK__">{"fdsup://Directions/FactSet Auditing Viewer?action=AUDIT_VALUE&amp;DB=129&amp;ID1=14912310&amp;VALUEID=01051&amp;SDATE=2010&amp;PERIODTYPE=ANN_STD&amp;SCFT=3&amp;window=popup_no_bar&amp;width=385&amp;height=120&amp;START_MAXIMIZED=FALSE&amp;creator=factset&amp;display_string=Audit"}</definedName>
    <definedName name="_617__FDSAUDITLINK__">{"fdsup://Directions/FactSet Auditing Viewer?action=AUDIT_VALUE&amp;DB=129&amp;ID1=14912310&amp;VALUEID=01001&amp;SDATE=2010&amp;PERIODTYPE=ANN_STD&amp;SCFT=3&amp;window=popup_no_bar&amp;width=385&amp;height=120&amp;START_MAXIMIZED=FALSE&amp;creator=factset&amp;display_string=Audit"}</definedName>
    <definedName name="_618__FDSAUDITLINK__">{"fdsup://Directions/FactSet Auditing Viewer?action=AUDIT_VALUE&amp;DB=129&amp;ID1=14912310&amp;VALUEID=03426&amp;SDATE=2010&amp;PERIODTYPE=ANN_STD&amp;SCFT=3&amp;window=popup_no_bar&amp;width=385&amp;height=120&amp;START_MAXIMIZED=FALSE&amp;creator=factset&amp;display_string=Audit"}</definedName>
    <definedName name="_619__FDSAUDITLINK__">{"fdsup://Directions/FactSet Auditing Viewer?action=AUDIT_VALUE&amp;DB=129&amp;ID1=14912310&amp;VALUEID=03426&amp;SDATE=2009&amp;PERIODTYPE=ANN_STD&amp;SCFT=3&amp;window=popup_no_bar&amp;width=385&amp;height=120&amp;START_MAXIMIZED=FALSE&amp;creator=factset&amp;display_string=Audit"}</definedName>
    <definedName name="_62__FDSAUDITLINK__">{"fdsup://directions/FAT Viewer?action=UPDATE&amp;creator=factset&amp;DYN_ARGS=TRUE&amp;DOC_NAME=FAT:FQL_AUDITING_CLIENT_TEMPLATE.FAT&amp;display_string=Audit&amp;VAR:KEY=TOHYFWHMFK&amp;VAR:QUERY=RkZfU0hMRFJTX0VRKEFOTiwtOSwwLFksUlAsTE9DQUwsTSk=&amp;WINDOW=FIRST_POPUP&amp;HEIGHT=450&amp;WIDTH=","450&amp;START_MAXIMIZED=FALSE&amp;VAR:CALENDAR=US&amp;VAR:SYMBOL=14912310&amp;VAR:INDEX=4"}</definedName>
    <definedName name="_620__FDSAUDITLINK__">{"fdsup://Directions/FactSet Auditing Viewer?action=AUDIT_VALUE&amp;DB=129&amp;ID1=14912310&amp;VALUEID=03499&amp;SDATE=2010&amp;PERIODTYPE=ANN_STD&amp;SCFT=3&amp;window=popup_no_bar&amp;width=385&amp;height=120&amp;START_MAXIMIZED=FALSE&amp;creator=factset&amp;display_string=Audit"}</definedName>
    <definedName name="_621__FDSAUDITLINK__">{"fdsup://Directions/FactSet Auditing Viewer?action=AUDIT_VALUE&amp;DB=129&amp;ID1=14912310&amp;VALUEID=03499&amp;SDATE=2005&amp;PERIODTYPE=ANN_STD&amp;SCFT=3&amp;window=popup_no_bar&amp;width=385&amp;height=120&amp;START_MAXIMIZED=FALSE&amp;creator=factset&amp;display_string=Audit"}</definedName>
    <definedName name="_622__FDSAUDITLINK__">{"fdsup://Directions/FactSet Auditing Viewer?action=AUDIT_VALUE&amp;DB=129&amp;ID1=14912310&amp;VALUEID=03493&amp;SDATE=2010&amp;PERIODTYPE=ANN_STD&amp;SCFT=3&amp;window=popup_no_bar&amp;width=385&amp;height=120&amp;START_MAXIMIZED=FALSE&amp;creator=factset&amp;display_string=Audit"}</definedName>
    <definedName name="_623__FDSAUDITLINK__">{"fdsup://Directions/FactSet Auditing Viewer?action=AUDIT_VALUE&amp;DB=129&amp;ID1=14912310&amp;VALUEID=03493&amp;SDATE=2005&amp;PERIODTYPE=ANN_STD&amp;SCFT=3&amp;window=popup_no_bar&amp;width=385&amp;height=120&amp;START_MAXIMIZED=FALSE&amp;creator=factset&amp;display_string=Audit"}</definedName>
    <definedName name="_624__FDSAUDITLINK__">{"fdsup://Directions/FactSet Auditing Viewer?action=AUDIT_VALUE&amp;DB=129&amp;ID1=14912310&amp;VALUEID=03498&amp;SDATE=2010&amp;PERIODTYPE=ANN_STD&amp;SCFT=3&amp;window=popup_no_bar&amp;width=385&amp;height=120&amp;START_MAXIMIZED=FALSE&amp;creator=factset&amp;display_string=Audit"}</definedName>
    <definedName name="_625__FDSAUDITLINK__">{"fdsup://Directions/FactSet Auditing Viewer?action=AUDIT_VALUE&amp;DB=129&amp;ID1=14912310&amp;VALUEID=03498&amp;SDATE=2005&amp;PERIODTYPE=ANN_STD&amp;SCFT=3&amp;window=popup_no_bar&amp;width=385&amp;height=120&amp;START_MAXIMIZED=FALSE&amp;creator=factset&amp;display_string=Audit"}</definedName>
    <definedName name="_626__FDSAUDITLINK__">{"fdsup://Directions/FactSet Auditing Viewer?action=AUDIT_VALUE&amp;DB=129&amp;ID1=14912310&amp;VALUEID=03497&amp;SDATE=2010&amp;PERIODTYPE=ANN_STD&amp;SCFT=3&amp;window=popup_no_bar&amp;width=385&amp;height=120&amp;START_MAXIMIZED=FALSE&amp;creator=factset&amp;display_string=Audit"}</definedName>
    <definedName name="_627__FDSAUDITLINK__">{"fdsup://Directions/FactSet Auditing Viewer?action=AUDIT_VALUE&amp;DB=129&amp;ID1=14912310&amp;VALUEID=03497&amp;SDATE=2005&amp;PERIODTYPE=ANN_STD&amp;SCFT=3&amp;window=popup_no_bar&amp;width=385&amp;height=120&amp;START_MAXIMIZED=FALSE&amp;creator=factset&amp;display_string=Audit"}</definedName>
    <definedName name="_628__FDSAUDITLINK__">{"fdsup://Directions/FactSet Auditing Viewer?action=AUDIT_VALUE&amp;DB=129&amp;ID1=14912310&amp;VALUEID=03495&amp;SDATE=2010&amp;PERIODTYPE=ANN_STD&amp;SCFT=3&amp;window=popup_no_bar&amp;width=385&amp;height=120&amp;START_MAXIMIZED=FALSE&amp;creator=factset&amp;display_string=Audit"}</definedName>
    <definedName name="_629__FDSAUDITLINK__">{"fdsup://Directions/FactSet Auditing Viewer?action=AUDIT_VALUE&amp;DB=129&amp;ID1=14912310&amp;VALUEID=03495&amp;SDATE=2005&amp;PERIODTYPE=ANN_STD&amp;SCFT=3&amp;window=popup_no_bar&amp;width=385&amp;height=120&amp;START_MAXIMIZED=FALSE&amp;creator=factset&amp;display_string=Audit"}</definedName>
    <definedName name="_63__FDSAUDITLINK__">{"fdsup://directions/FAT Viewer?action=UPDATE&amp;creator=factset&amp;DYN_ARGS=TRUE&amp;DOC_NAME=FAT:FQL_AUDITING_CLIENT_TEMPLATE.FAT&amp;display_string=Audit&amp;VAR:KEY=TOHYFWHMFK&amp;VAR:QUERY=RkZfU0hMRFJTX0VRKEFOTiwtOSwwLFksUlAsTE9DQUwsTSk=&amp;WINDOW=FIRST_POPUP&amp;HEIGHT=450&amp;WIDTH=","450&amp;START_MAXIMIZED=FALSE&amp;VAR:CALENDAR=US&amp;VAR:SYMBOL=14912310&amp;VAR:INDEX=3"}</definedName>
    <definedName name="_630__FDSAUDITLINK__">{"fdsup://Directions/FactSet Auditing Viewer?action=AUDIT_VALUE&amp;DB=129&amp;ID1=14912310&amp;VALUEID=03480&amp;SDATE=2010&amp;PERIODTYPE=ANN_STD&amp;SCFT=3&amp;window=popup_no_bar&amp;width=385&amp;height=120&amp;START_MAXIMIZED=FALSE&amp;creator=factset&amp;display_string=Audit"}</definedName>
    <definedName name="_631__FDSAUDITLINK__">{"fdsup://Directions/FactSet Auditing Viewer?action=AUDIT_VALUE&amp;DB=129&amp;ID1=14912310&amp;VALUEID=03501&amp;SDATE=2010&amp;PERIODTYPE=ANN_STD&amp;SCFT=3&amp;window=popup_no_bar&amp;width=385&amp;height=120&amp;START_MAXIMIZED=FALSE&amp;creator=factset&amp;display_string=Audit"}</definedName>
    <definedName name="_632__FDSAUDITLINK__">{"fdsup://Directions/FactSet Auditing Viewer?action=AUDIT_VALUE&amp;DB=129&amp;ID1=14912310&amp;VALUEID=03501&amp;SDATE=2005&amp;PERIODTYPE=ANN_STD&amp;SCFT=3&amp;window=popup_no_bar&amp;width=385&amp;height=120&amp;START_MAXIMIZED=FALSE&amp;creator=factset&amp;display_string=Audit"}</definedName>
    <definedName name="_633__FDSAUDITLINK__">{"fdsup://Directions/FactSet Auditing Viewer?action=AUDIT_VALUE&amp;DB=129&amp;ID1=14912310&amp;VALUEID=03351&amp;SDATE=2010&amp;PERIODTYPE=ANN_STD&amp;SCFT=3&amp;window=popup_no_bar&amp;width=385&amp;height=120&amp;START_MAXIMIZED=FALSE&amp;creator=factset&amp;display_string=Audit"}</definedName>
    <definedName name="_634__FDSAUDITLINK__">{"fdsup://Directions/FactSet Auditing Viewer?action=AUDIT_VALUE&amp;DB=129&amp;ID1=14912310&amp;VALUEID=03351&amp;SDATE=2005&amp;PERIODTYPE=ANN_STD&amp;SCFT=3&amp;window=popup_no_bar&amp;width=385&amp;height=120&amp;START_MAXIMIZED=FALSE&amp;creator=factset&amp;display_string=Audit"}</definedName>
    <definedName name="_635__FDSAUDITLINK__">{"fdsup://Directions/FactSet Auditing Viewer?action=AUDIT_VALUE&amp;DB=129&amp;ID1=14912310&amp;VALUEID=18183&amp;SDATE=2010&amp;PERIODTYPE=ANN_STD&amp;SCFT=3&amp;window=popup_no_bar&amp;width=385&amp;height=120&amp;START_MAXIMIZED=FALSE&amp;creator=factset&amp;display_string=Audit"}</definedName>
    <definedName name="_636__FDSAUDITLINK__">{"fdsup://Directions/FactSet Auditing Viewer?action=AUDIT_VALUE&amp;DB=129&amp;ID1=14912310&amp;VALUEID=18183&amp;SDATE=2005&amp;PERIODTYPE=ANN_STD&amp;SCFT=3&amp;window=popup_no_bar&amp;width=385&amp;height=120&amp;START_MAXIMIZED=FALSE&amp;creator=factset&amp;display_string=Audit"}</definedName>
    <definedName name="_637__FDSAUDITLINK__">{"fdsup://Directions/FactSet Auditing Viewer?action=AUDIT_VALUE&amp;DB=129&amp;ID1=14912310&amp;VALUEID=18183&amp;SDATE=2004&amp;PERIODTYPE=ANN_STD&amp;SCFT=3&amp;window=popup_no_bar&amp;width=385&amp;height=120&amp;START_MAXIMIZED=FALSE&amp;creator=factset&amp;display_string=Audit"}</definedName>
    <definedName name="_638__FDSAUDITLINK__">{"fdsup://Directions/FactSet Auditing Viewer?action=AUDIT_VALUE&amp;DB=129&amp;ID1=14912310&amp;VALUEID=03101&amp;SDATE=2010&amp;PERIODTYPE=ANN_STD&amp;SCFT=3&amp;window=popup_no_bar&amp;width=385&amp;height=120&amp;START_MAXIMIZED=FALSE&amp;creator=factset&amp;display_string=Audit"}</definedName>
    <definedName name="_639__FDSAUDITLINK__">{"fdsup://Directions/FactSet Auditing Viewer?action=AUDIT_VALUE&amp;DB=129&amp;ID1=14912310&amp;VALUEID=03101&amp;SDATE=2005&amp;PERIODTYPE=ANN_STD&amp;SCFT=3&amp;window=popup_no_bar&amp;width=385&amp;height=120&amp;START_MAXIMIZED=FALSE&amp;creator=factset&amp;display_string=Audit"}</definedName>
    <definedName name="_64__FDSAUDITLINK__">{"fdsup://directions/FAT Viewer?action=UPDATE&amp;creator=factset&amp;DYN_ARGS=TRUE&amp;DOC_NAME=FAT:FQL_AUDITING_CLIENT_TEMPLATE.FAT&amp;display_string=Audit&amp;VAR:KEY=TOHYFWHMFK&amp;VAR:QUERY=RkZfU0hMRFJTX0VRKEFOTiwtOSwwLFksUlAsTE9DQUwsTSk=&amp;WINDOW=FIRST_POPUP&amp;HEIGHT=450&amp;WIDTH=","450&amp;START_MAXIMIZED=FALSE&amp;VAR:CALENDAR=US&amp;VAR:SYMBOL=14912310&amp;VAR:INDEX=2"}</definedName>
    <definedName name="_640__FDSAUDITLINK__">{"fdsup://Directions/FactSet Auditing Viewer?action=AUDIT_VALUE&amp;DB=129&amp;ID1=14912310&amp;VALUEID=03054&amp;SDATE=2010&amp;PERIODTYPE=ANN_STD&amp;SCFT=3&amp;window=popup_no_bar&amp;width=385&amp;height=120&amp;START_MAXIMIZED=FALSE&amp;creator=factset&amp;display_string=Audit"}</definedName>
    <definedName name="_641__FDSAUDITLINK__">{"fdsup://Directions/FactSet Auditing Viewer?action=AUDIT_VALUE&amp;DB=129&amp;ID1=14912310&amp;VALUEID=03054&amp;SDATE=2005&amp;PERIODTYPE=ANN_STD&amp;SCFT=3&amp;window=popup_no_bar&amp;width=385&amp;height=120&amp;START_MAXIMIZED=FALSE&amp;creator=factset&amp;display_string=Audit"}</definedName>
    <definedName name="_642__FDSAUDITLINK__">{"fdsup://Directions/FactSet Auditing Viewer?action=AUDIT_VALUE&amp;DB=129&amp;ID1=14912310&amp;VALUEID=03061&amp;SDATE=2010&amp;PERIODTYPE=ANN_STD&amp;SCFT=3&amp;window=popup_no_bar&amp;width=385&amp;height=120&amp;START_MAXIMIZED=FALSE&amp;creator=factset&amp;display_string=Audit"}</definedName>
    <definedName name="_643__FDSAUDITLINK__">{"fdsup://Directions/FactSet Auditing Viewer?action=AUDIT_VALUE&amp;DB=129&amp;ID1=14912310&amp;VALUEID=03061&amp;SDATE=2005&amp;PERIODTYPE=ANN_STD&amp;SCFT=3&amp;window=popup_no_bar&amp;width=385&amp;height=120&amp;START_MAXIMIZED=FALSE&amp;creator=factset&amp;display_string=Audit"}</definedName>
    <definedName name="_644__FDSAUDITLINK__">{"fdsup://Directions/FactSet Auditing Viewer?action=AUDIT_VALUE&amp;DB=129&amp;ID1=14912310&amp;VALUEID=03063&amp;SDATE=2010&amp;PERIODTYPE=ANN_STD&amp;SCFT=3&amp;window=popup_no_bar&amp;width=385&amp;height=120&amp;START_MAXIMIZED=FALSE&amp;creator=factset&amp;display_string=Audit"}</definedName>
    <definedName name="_645__FDSAUDITLINK__">{"fdsup://Directions/FactSet Auditing Viewer?action=AUDIT_VALUE&amp;DB=129&amp;ID1=14912310&amp;VALUEID=03063&amp;SDATE=2005&amp;PERIODTYPE=ANN_STD&amp;SCFT=3&amp;window=popup_no_bar&amp;width=385&amp;height=120&amp;START_MAXIMIZED=FALSE&amp;creator=factset&amp;display_string=Audit"}</definedName>
    <definedName name="_646__FDSAUDITLINK__">{"fdsup://Directions/FactSet Auditing Viewer?action=AUDIT_VALUE&amp;DB=129&amp;ID1=14912310&amp;VALUEID=03040&amp;SDATE=2010&amp;PERIODTYPE=ANN_STD&amp;SCFT=3&amp;window=popup_no_bar&amp;width=385&amp;height=120&amp;START_MAXIMIZED=FALSE&amp;creator=factset&amp;display_string=Audit"}</definedName>
    <definedName name="_647__FDSAUDITLINK__">{"fdsup://Directions/FactSet Auditing Viewer?action=AUDIT_VALUE&amp;DB=129&amp;ID1=14912310&amp;VALUEID=03040&amp;SDATE=2005&amp;PERIODTYPE=ANN_STD&amp;SCFT=3&amp;window=popup_no_bar&amp;width=385&amp;height=120&amp;START_MAXIMIZED=FALSE&amp;creator=factset&amp;display_string=Audit"}</definedName>
    <definedName name="_648__FDSAUDITLINK__">{"fdsup://Directions/FactSet Auditing Viewer?action=AUDIT_VALUE&amp;DB=129&amp;ID1=14912310&amp;VALUEID=03051&amp;SDATE=2010&amp;PERIODTYPE=ANN_STD&amp;SCFT=3&amp;window=popup_no_bar&amp;width=385&amp;height=120&amp;START_MAXIMIZED=FALSE&amp;creator=factset&amp;display_string=Audit"}</definedName>
    <definedName name="_649__FDSAUDITLINK__">{"fdsup://Directions/FactSet Auditing Viewer?action=AUDIT_VALUE&amp;DB=129&amp;ID1=14912310&amp;VALUEID=03051&amp;SDATE=2005&amp;PERIODTYPE=ANN_STD&amp;SCFT=3&amp;window=popup_no_bar&amp;width=385&amp;height=120&amp;START_MAXIMIZED=FALSE&amp;creator=factset&amp;display_string=Audit"}</definedName>
    <definedName name="_65__FDSAUDITLINK__">{"fdsup://directions/FAT Viewer?action=UPDATE&amp;creator=factset&amp;DYN_ARGS=TRUE&amp;DOC_NAME=FAT:FQL_AUDITING_CLIENT_TEMPLATE.FAT&amp;display_string=Audit&amp;VAR:KEY=TOHYFWHMFK&amp;VAR:QUERY=RkZfU0hMRFJTX0VRKEFOTiwtOSwwLFksUlAsTE9DQUwsTSk=&amp;WINDOW=FIRST_POPUP&amp;HEIGHT=450&amp;WIDTH=","450&amp;START_MAXIMIZED=FALSE&amp;VAR:CALENDAR=US&amp;VAR:SYMBOL=14912310&amp;VAR:INDEX=1"}</definedName>
    <definedName name="_650__FDSAUDITLINK__">{"fdsup://Directions/FactSet Auditing Viewer?action=AUDIT_VALUE&amp;DB=129&amp;ID1=14912310&amp;VALUEID=02999&amp;SDATE=2010&amp;PERIODTYPE=ANN_STD&amp;SCFT=3&amp;window=popup_no_bar&amp;width=385&amp;height=120&amp;START_MAXIMIZED=FALSE&amp;creator=factset&amp;display_string=Audit"}</definedName>
    <definedName name="_651__FDSAUDITLINK__">{"fdsup://Directions/FactSet Auditing Viewer?action=AUDIT_VALUE&amp;DB=129&amp;ID1=14912310&amp;VALUEID=02999&amp;SDATE=2005&amp;PERIODTYPE=ANN_STD&amp;SCFT=3&amp;window=popup_no_bar&amp;width=385&amp;height=120&amp;START_MAXIMIZED=FALSE&amp;creator=factset&amp;display_string=Audit"}</definedName>
    <definedName name="_652__FDSAUDITLINK__">{"fdsup://Directions/FactSet Auditing Viewer?action=AUDIT_VALUE&amp;DB=129&amp;ID1=14912310&amp;VALUEID=02648&amp;SDATE=2010&amp;PERIODTYPE=ANN_STD&amp;SCFT=3&amp;window=popup_no_bar&amp;width=385&amp;height=120&amp;START_MAXIMIZED=FALSE&amp;creator=factset&amp;display_string=Audit"}</definedName>
    <definedName name="_653__FDSAUDITLINK__">{"fdsup://Directions/FactSet Auditing Viewer?action=AUDIT_VALUE&amp;DB=129&amp;ID1=14912310&amp;VALUEID=02648&amp;SDATE=2005&amp;PERIODTYPE=ANN_STD&amp;SCFT=3&amp;window=popup_no_bar&amp;width=385&amp;height=120&amp;START_MAXIMIZED=FALSE&amp;creator=factset&amp;display_string=Audit"}</definedName>
    <definedName name="_654__FDSAUDITLINK__">{"fdsup://Directions/FactSet Auditing Viewer?action=AUDIT_VALUE&amp;DB=129&amp;ID1=14912310&amp;VALUEID=02647&amp;SDATE=2005&amp;PERIODTYPE=ANN_STD&amp;SCFT=3&amp;window=popup_no_bar&amp;width=385&amp;height=120&amp;START_MAXIMIZED=FALSE&amp;creator=factset&amp;display_string=Audit"}</definedName>
    <definedName name="_655__FDSAUDITLINK__">{"fdsup://Directions/FactSet Auditing Viewer?action=AUDIT_VALUE&amp;DB=129&amp;ID1=14912310&amp;VALUEID=02647&amp;SDATE=2004&amp;PERIODTYPE=ANN_STD&amp;SCFT=3&amp;window=popup_no_bar&amp;width=385&amp;height=120&amp;START_MAXIMIZED=FALSE&amp;creator=factset&amp;display_string=Audit"}</definedName>
    <definedName name="_656__FDSAUDITLINK__">{"fdsup://Directions/FactSet Auditing Viewer?action=AUDIT_VALUE&amp;DB=129&amp;ID1=14912310&amp;VALUEID=18184&amp;SDATE=2010&amp;PERIODTYPE=ANN_STD&amp;SCFT=3&amp;window=popup_no_bar&amp;width=385&amp;height=120&amp;START_MAXIMIZED=FALSE&amp;creator=factset&amp;display_string=Audit"}</definedName>
    <definedName name="_657__FDSAUDITLINK__">{"fdsup://Directions/FactSet Auditing Viewer?action=AUDIT_VALUE&amp;DB=129&amp;ID1=14912310&amp;VALUEID=18184&amp;SDATE=2005&amp;PERIODTYPE=ANN_STD&amp;SCFT=3&amp;window=popup_no_bar&amp;width=385&amp;height=120&amp;START_MAXIMIZED=FALSE&amp;creator=factset&amp;display_string=Audit"}</definedName>
    <definedName name="_658__FDSAUDITLINK__">{"fdsup://Directions/FactSet Auditing Viewer?action=AUDIT_VALUE&amp;DB=129&amp;ID1=14912310&amp;VALUEID=18280&amp;SDATE=2010&amp;PERIODTYPE=ANN_STD&amp;SCFT=3&amp;window=popup_no_bar&amp;width=385&amp;height=120&amp;START_MAXIMIZED=FALSE&amp;creator=factset&amp;display_string=Audit"}</definedName>
    <definedName name="_659__FDSAUDITLINK__">{"fdsup://Directions/FactSet Auditing Viewer?action=AUDIT_VALUE&amp;DB=129&amp;ID1=14912310&amp;VALUEID=18280&amp;SDATE=2005&amp;PERIODTYPE=ANN_STD&amp;SCFT=3&amp;window=popup_no_bar&amp;width=385&amp;height=120&amp;START_MAXIMIZED=FALSE&amp;creator=factset&amp;display_string=Audit"}</definedName>
    <definedName name="_66__FDSAUDITLINK__">{"fdsup://Directions/FactSet Auditing Viewer?action=AUDIT_VALUE&amp;DB=129&amp;ID1=14912310&amp;VALUEID=03499&amp;SDATE=2009&amp;PERIODTYPE=ANN_STD&amp;SCFT=3&amp;window=popup_no_bar&amp;width=385&amp;height=120&amp;START_MAXIMIZED=FALSE&amp;creator=factset&amp;display_string=Audit"}</definedName>
    <definedName name="_660__FDSAUDITLINK__">{"fdsup://Directions/FactSet Auditing Viewer?action=AUDIT_VALUE&amp;DB=129&amp;ID1=14912310&amp;VALUEID=02649&amp;SDATE=2010&amp;PERIODTYPE=ANN_STD&amp;SCFT=3&amp;window=popup_no_bar&amp;width=385&amp;height=120&amp;START_MAXIMIZED=FALSE&amp;creator=factset&amp;display_string=Audit"}</definedName>
    <definedName name="_661__FDSAUDITLINK__">{"fdsup://Directions/FactSet Auditing Viewer?action=AUDIT_VALUE&amp;DB=129&amp;ID1=14912310&amp;VALUEID=02649&amp;SDATE=2005&amp;PERIODTYPE=ANN_STD&amp;SCFT=3&amp;window=popup_no_bar&amp;width=385&amp;height=120&amp;START_MAXIMIZED=FALSE&amp;creator=factset&amp;display_string=Audit"}</definedName>
    <definedName name="_662__FDSAUDITLINK__">{"fdsup://Directions/FactSet Auditing Viewer?action=AUDIT_VALUE&amp;DB=129&amp;ID1=14912310&amp;VALUEID=02258&amp;SDATE=2010&amp;PERIODTYPE=ANN_STD&amp;SCFT=3&amp;window=popup_no_bar&amp;width=385&amp;height=120&amp;START_MAXIMIZED=FALSE&amp;creator=factset&amp;display_string=Audit"}</definedName>
    <definedName name="_663__FDSAUDITLINK__">{"fdsup://Directions/FactSet Auditing Viewer?action=AUDIT_VALUE&amp;DB=129&amp;ID1=14912310&amp;VALUEID=02258&amp;SDATE=2005&amp;PERIODTYPE=ANN_STD&amp;SCFT=3&amp;window=popup_no_bar&amp;width=385&amp;height=120&amp;START_MAXIMIZED=FALSE&amp;creator=factset&amp;display_string=Audit"}</definedName>
    <definedName name="_664__FDSAUDITLINK__">{"fdsup://Directions/FactSet Auditing Viewer?action=AUDIT_VALUE&amp;DB=129&amp;ID1=14912310&amp;VALUEID=02250&amp;SDATE=2004&amp;PERIODTYPE=ANN_STD&amp;SCFT=3&amp;window=popup_no_bar&amp;width=385&amp;height=120&amp;START_MAXIMIZED=FALSE&amp;creator=factset&amp;display_string=Audit"}</definedName>
    <definedName name="_665__FDSAUDITLINK__">{"fdsup://Directions/FactSet Auditing Viewer?action=AUDIT_VALUE&amp;DB=129&amp;ID1=14912310&amp;VALUEID=02256&amp;SDATE=2010&amp;PERIODTYPE=ANN_STD&amp;SCFT=3&amp;window=popup_no_bar&amp;width=385&amp;height=120&amp;START_MAXIMIZED=FALSE&amp;creator=factset&amp;display_string=Audit"}</definedName>
    <definedName name="_666__FDSAUDITLINK__">{"fdsup://Directions/FactSet Auditing Viewer?action=AUDIT_VALUE&amp;DB=129&amp;ID1=14912310&amp;VALUEID=02401&amp;SDATE=2010&amp;PERIODTYPE=ANN_STD&amp;SCFT=3&amp;window=popup_no_bar&amp;width=385&amp;height=120&amp;START_MAXIMIZED=FALSE&amp;creator=factset&amp;display_string=Audit"}</definedName>
    <definedName name="_667__FDSAUDITLINK__">{"fdsup://Directions/FactSet Auditing Viewer?action=AUDIT_VALUE&amp;DB=129&amp;ID1=14912310&amp;VALUEID=02401&amp;SDATE=2005&amp;PERIODTYPE=ANN_STD&amp;SCFT=3&amp;window=popup_no_bar&amp;width=385&amp;height=120&amp;START_MAXIMIZED=FALSE&amp;creator=factset&amp;display_string=Audit"}</definedName>
    <definedName name="_668__FDSAUDITLINK__">{"fdsup://Directions/FactSet Auditing Viewer?action=AUDIT_VALUE&amp;DB=129&amp;ID1=14912310&amp;VALUEID=18378&amp;SDATE=2010&amp;PERIODTYPE=ANN_STD&amp;SCFT=3&amp;window=popup_no_bar&amp;width=385&amp;height=120&amp;START_MAXIMIZED=FALSE&amp;creator=factset&amp;display_string=Audit"}</definedName>
    <definedName name="_669__FDSAUDITLINK__">{"fdsup://Directions/FactSet Auditing Viewer?action=AUDIT_VALUE&amp;DB=129&amp;ID1=14912310&amp;VALUEID=18378&amp;SDATE=2005&amp;PERIODTYPE=ANN_STD&amp;SCFT=3&amp;window=popup_no_bar&amp;width=385&amp;height=120&amp;START_MAXIMIZED=FALSE&amp;creator=factset&amp;display_string=Audit"}</definedName>
    <definedName name="_67__FDSAUDITLINK__">{"fdsup://directions/FAT Viewer?action=UPDATE&amp;creator=factset&amp;DYN_ARGS=TRUE&amp;DOC_NAME=FAT:FQL_AUDITING_CLIENT_TEMPLATE.FAT&amp;display_string=Audit&amp;VAR:KEY=ZCBCJSZOTA&amp;VAR:QUERY=RkZfRUJJVERBX09QRVIoQU5OLC05LDAsWSxSUCxMT0NBTCxNKQ==&amp;WINDOW=FIRST_POPUP&amp;HEIGHT=450&amp;WI","DTH=450&amp;START_MAXIMIZED=FALSE&amp;VAR:CALENDAR=US&amp;VAR:SYMBOL=14912310&amp;VAR:INDEX=6"}</definedName>
    <definedName name="_670__FDSAUDITLINK__">{"fdsup://Directions/FactSet Auditing Viewer?action=AUDIT_VALUE&amp;DB=129&amp;ID1=14912310&amp;VALUEID=18381&amp;SDATE=2010&amp;PERIODTYPE=ANN_STD&amp;SCFT=3&amp;window=popup_no_bar&amp;width=385&amp;height=120&amp;START_MAXIMIZED=FALSE&amp;creator=factset&amp;display_string=Audit"}</definedName>
    <definedName name="_671__FDSAUDITLINK__">{"fdsup://Directions/FactSet Auditing Viewer?action=AUDIT_VALUE&amp;DB=129&amp;ID1=14912310&amp;VALUEID=18381&amp;SDATE=2005&amp;PERIODTYPE=ANN_STD&amp;SCFT=3&amp;window=popup_no_bar&amp;width=385&amp;height=120&amp;START_MAXIMIZED=FALSE&amp;creator=factset&amp;display_string=Audit"}</definedName>
    <definedName name="_672__FDSAUDITLINK__">{"fdsup://Directions/FactSet Auditing Viewer?action=AUDIT_VALUE&amp;DB=129&amp;ID1=14912310&amp;VALUEID=18390&amp;SDATE=2010&amp;PERIODTYPE=ANN_STD&amp;SCFT=3&amp;window=popup_no_bar&amp;width=385&amp;height=120&amp;START_MAXIMIZED=FALSE&amp;creator=factset&amp;display_string=Audit"}</definedName>
    <definedName name="_673__FDSAUDITLINK__">{"fdsup://Directions/FactSet Auditing Viewer?action=AUDIT_VALUE&amp;DB=129&amp;ID1=14912310&amp;VALUEID=18390&amp;SDATE=2005&amp;PERIODTYPE=ANN_STD&amp;SCFT=3&amp;window=popup_no_bar&amp;width=385&amp;height=120&amp;START_MAXIMIZED=FALSE&amp;creator=factset&amp;display_string=Audit"}</definedName>
    <definedName name="_674__FDSAUDITLINK__">{"fdsup://Directions/FactSet Auditing Viewer?action=AUDIT_VALUE&amp;DB=129&amp;ID1=14912310&amp;VALUEID=18377&amp;SDATE=2010&amp;PERIODTYPE=ANN_STD&amp;SCFT=3&amp;window=popup_no_bar&amp;width=385&amp;height=120&amp;START_MAXIMIZED=FALSE&amp;creator=factset&amp;display_string=Audit"}</definedName>
    <definedName name="_675__FDSAUDITLINK__">{"fdsup://Directions/FactSet Auditing Viewer?action=AUDIT_VALUE&amp;DB=129&amp;ID1=14912310&amp;VALUEID=18377&amp;SDATE=2005&amp;PERIODTYPE=ANN_STD&amp;SCFT=3&amp;window=popup_no_bar&amp;width=385&amp;height=120&amp;START_MAXIMIZED=FALSE&amp;creator=factset&amp;display_string=Audit"}</definedName>
    <definedName name="_676__FDSAUDITLINK__">{"fdsup://Directions/FactSet Auditing Viewer?action=AUDIT_VALUE&amp;DB=129&amp;ID1=14912310&amp;VALUEID=18375&amp;SDATE=2010&amp;PERIODTYPE=ANN_STD&amp;SCFT=3&amp;window=popup_no_bar&amp;width=385&amp;height=120&amp;START_MAXIMIZED=FALSE&amp;creator=factset&amp;display_string=Audit"}</definedName>
    <definedName name="_677__FDSAUDITLINK__">{"fdsup://Directions/FactSet Auditing Viewer?action=AUDIT_VALUE&amp;DB=129&amp;ID1=14912310&amp;VALUEID=18375&amp;SDATE=2005&amp;PERIODTYPE=ANN_STD&amp;SCFT=3&amp;window=popup_no_bar&amp;width=385&amp;height=120&amp;START_MAXIMIZED=FALSE&amp;creator=factset&amp;display_string=Audit"}</definedName>
    <definedName name="_678__FDSAUDITLINK__">{"fdsup://Directions/FactSet Auditing Viewer?action=AUDIT_VALUE&amp;DB=129&amp;ID1=14912310&amp;VALUEID=18376&amp;SDATE=2010&amp;PERIODTYPE=ANN_STD&amp;SCFT=3&amp;window=popup_no_bar&amp;width=385&amp;height=120&amp;START_MAXIMIZED=FALSE&amp;creator=factset&amp;display_string=Audit"}</definedName>
    <definedName name="_679__FDSAUDITLINK__">{"fdsup://Directions/FactSet Auditing Viewer?action=AUDIT_VALUE&amp;DB=129&amp;ID1=14912310&amp;VALUEID=18376&amp;SDATE=2005&amp;PERIODTYPE=ANN_STD&amp;SCFT=3&amp;window=popup_no_bar&amp;width=385&amp;height=120&amp;START_MAXIMIZED=FALSE&amp;creator=factset&amp;display_string=Audit"}</definedName>
    <definedName name="_68__FDSAUDITLINK__">{"fdsup://Directions/FactSet Auditing Viewer?action=AUDIT_VALUE&amp;DB=129&amp;ID1=14912310&amp;VALUEID=03499&amp;SDATE=2007&amp;PERIODTYPE=ANN_STD&amp;SCFT=3&amp;window=popup_no_bar&amp;width=385&amp;height=120&amp;START_MAXIMIZED=FALSE&amp;creator=factset&amp;display_string=Audit"}</definedName>
    <definedName name="_680__FDSAUDITLINK__">{"fdsup://Directions/FactSet Auditing Viewer?action=AUDIT_VALUE&amp;DB=129&amp;ID1=14912310&amp;VALUEID=02301&amp;SDATE=2010&amp;PERIODTYPE=ANN_STD&amp;SCFT=3&amp;window=popup_no_bar&amp;width=385&amp;height=120&amp;START_MAXIMIZED=FALSE&amp;creator=factset&amp;display_string=Audit"}</definedName>
    <definedName name="_681__FDSAUDITLINK__">{"fdsup://Directions/FactSet Auditing Viewer?action=AUDIT_VALUE&amp;DB=129&amp;ID1=14912310&amp;VALUEID=02301&amp;SDATE=2005&amp;PERIODTYPE=ANN_STD&amp;SCFT=3&amp;window=popup_no_bar&amp;width=385&amp;height=120&amp;START_MAXIMIZED=FALSE&amp;creator=factset&amp;display_string=Audit"}</definedName>
    <definedName name="_682__FDSAUDITLINK__">{"fdsup://Directions/FactSet Auditing Viewer?action=AUDIT_VALUE&amp;DB=129&amp;ID1=14912310&amp;VALUEID=02501&amp;SDATE=2010&amp;PERIODTYPE=ANN_STD&amp;SCFT=3&amp;window=popup_no_bar&amp;width=385&amp;height=120&amp;START_MAXIMIZED=FALSE&amp;creator=factset&amp;display_string=Audit"}</definedName>
    <definedName name="_683__FDSAUDITLINK__">{"fdsup://Directions/FactSet Auditing Viewer?action=AUDIT_VALUE&amp;DB=129&amp;ID1=14912310&amp;VALUEID=02501&amp;SDATE=2005&amp;PERIODTYPE=ANN_STD&amp;SCFT=3&amp;window=popup_no_bar&amp;width=385&amp;height=120&amp;START_MAXIMIZED=FALSE&amp;creator=factset&amp;display_string=Audit"}</definedName>
    <definedName name="_684__FDSAUDITLINK__">{"fdsup://Directions/FactSet Auditing Viewer?action=AUDIT_VALUE&amp;DB=129&amp;ID1=14912310&amp;VALUEID=02201&amp;SDATE=2010&amp;PERIODTYPE=ANN_STD&amp;SCFT=3&amp;window=popup_no_bar&amp;width=385&amp;height=120&amp;START_MAXIMIZED=FALSE&amp;creator=factset&amp;display_string=Audit"}</definedName>
    <definedName name="_685__FDSAUDITLINK__">{"fdsup://Directions/FactSet Auditing Viewer?action=AUDIT_VALUE&amp;DB=129&amp;ID1=14912310&amp;VALUEID=02201&amp;SDATE=2005&amp;PERIODTYPE=ANN_STD&amp;SCFT=3&amp;window=popup_no_bar&amp;width=385&amp;height=120&amp;START_MAXIMIZED=FALSE&amp;creator=factset&amp;display_string=Audit"}</definedName>
    <definedName name="_686__FDSAUDITLINK__">{"fdsup://Directions/FactSet Auditing Viewer?action=AUDIT_VALUE&amp;DB=129&amp;ID1=14912310&amp;VALUEID=02140&amp;SDATE=2005&amp;PERIODTYPE=ANN_STD&amp;SCFT=3&amp;window=popup_no_bar&amp;width=385&amp;height=120&amp;START_MAXIMIZED=FALSE&amp;creator=factset&amp;display_string=Audit"}</definedName>
    <definedName name="_687__FDSAUDITLINK__">{"fdsup://Directions/FactSet Auditing Viewer?action=AUDIT_VALUE&amp;DB=129&amp;ID1=14912310&amp;VALUEID=02140&amp;SDATE=2004&amp;PERIODTYPE=ANN_STD&amp;SCFT=3&amp;window=popup_no_bar&amp;width=385&amp;height=120&amp;START_MAXIMIZED=FALSE&amp;creator=factset&amp;display_string=Audit"}</definedName>
    <definedName name="_688__FDSAUDITLINK__">{"fdsup://Directions/FactSet Auditing Viewer?action=AUDIT_VALUE&amp;DB=129&amp;ID1=14912310&amp;VALUEID=02097&amp;SDATE=2010&amp;PERIODTYPE=ANN_STD&amp;SCFT=3&amp;window=popup_no_bar&amp;width=385&amp;height=120&amp;START_MAXIMIZED=FALSE&amp;creator=factset&amp;display_string=Audit"}</definedName>
    <definedName name="_689__FDSAUDITLINK__">{"fdsup://Directions/FactSet Auditing Viewer?action=AUDIT_VALUE&amp;DB=129&amp;ID1=14912310&amp;VALUEID=02097&amp;SDATE=2005&amp;PERIODTYPE=ANN_STD&amp;SCFT=3&amp;window=popup_no_bar&amp;width=385&amp;height=120&amp;START_MAXIMIZED=FALSE&amp;creator=factset&amp;display_string=Audit"}</definedName>
    <definedName name="_69__FDSAUDITLINK__">{"fdsup://Directions/FactSet Auditing Viewer?action=AUDIT_VALUE&amp;DB=129&amp;ID1=14912310&amp;VALUEID=03499&amp;SDATE=2006&amp;PERIODTYPE=ANN_STD&amp;SCFT=3&amp;window=popup_no_bar&amp;width=385&amp;height=120&amp;START_MAXIMIZED=FALSE&amp;creator=factset&amp;display_string=Audit"}</definedName>
    <definedName name="_690__FDSAUDITLINK__">{"fdsup://Directions/FactSet Auditing Viewer?action=AUDIT_VALUE&amp;DB=129&amp;ID1=14912310&amp;VALUEID=02098&amp;SDATE=2010&amp;PERIODTYPE=ANN_STD&amp;SCFT=3&amp;window=popup_no_bar&amp;width=385&amp;height=120&amp;START_MAXIMIZED=FALSE&amp;creator=factset&amp;display_string=Audit"}</definedName>
    <definedName name="_691__FDSAUDITLINK__">{"fdsup://Directions/FactSet Auditing Viewer?action=AUDIT_VALUE&amp;DB=129&amp;ID1=14912310&amp;VALUEID=02098&amp;SDATE=2005&amp;PERIODTYPE=ANN_STD&amp;SCFT=3&amp;window=popup_no_bar&amp;width=385&amp;height=120&amp;START_MAXIMIZED=FALSE&amp;creator=factset&amp;display_string=Audit"}</definedName>
    <definedName name="_692__FDSAUDITLINK__">{"fdsup://Directions/FactSet Auditing Viewer?action=AUDIT_VALUE&amp;DB=129&amp;ID1=14912310&amp;VALUEID=02099&amp;SDATE=2010&amp;PERIODTYPE=ANN_STD&amp;SCFT=3&amp;window=popup_no_bar&amp;width=385&amp;height=120&amp;START_MAXIMIZED=FALSE&amp;creator=factset&amp;display_string=Audit"}</definedName>
    <definedName name="_693__FDSAUDITLINK__">{"fdsup://Directions/FactSet Auditing Viewer?action=AUDIT_VALUE&amp;DB=129&amp;ID1=14912310&amp;VALUEID=02099&amp;SDATE=2005&amp;PERIODTYPE=ANN_STD&amp;SCFT=3&amp;window=popup_no_bar&amp;width=385&amp;height=120&amp;START_MAXIMIZED=FALSE&amp;creator=factset&amp;display_string=Audit"}</definedName>
    <definedName name="_694__FDSAUDITLINK__">{"fdsup://Directions/FactSet Auditing Viewer?action=AUDIT_VALUE&amp;DB=129&amp;ID1=14912310&amp;VALUEID=02101&amp;SDATE=2010&amp;PERIODTYPE=ANN_STD&amp;SCFT=3&amp;window=popup_no_bar&amp;width=385&amp;height=120&amp;START_MAXIMIZED=FALSE&amp;creator=factset&amp;display_string=Audit"}</definedName>
    <definedName name="_695__FDSAUDITLINK__">{"fdsup://Directions/FactSet Auditing Viewer?action=AUDIT_VALUE&amp;DB=129&amp;ID1=14912310&amp;VALUEID=02101&amp;SDATE=2005&amp;PERIODTYPE=ANN_STD&amp;SCFT=3&amp;window=popup_no_bar&amp;width=385&amp;height=120&amp;START_MAXIMIZED=FALSE&amp;creator=factset&amp;display_string=Audit"}</definedName>
    <definedName name="_696__FDSAUDITLINK__">{"fdsup://Directions/FactSet Auditing Viewer?action=AUDIT_VALUE&amp;DB=129&amp;ID1=14912310&amp;VALUEID=18297&amp;SDATE=2005&amp;PERIODTYPE=ANN_STD&amp;SCFT=3&amp;window=popup_no_bar&amp;width=385&amp;height=120&amp;START_MAXIMIZED=FALSE&amp;creator=factset&amp;display_string=Audit"}</definedName>
    <definedName name="_697__FDSAUDITLINK__">{"fdsup://Directions/FactSet Auditing Viewer?action=AUDIT_VALUE&amp;DB=129&amp;ID1=14912310&amp;VALUEID=18297&amp;SDATE=2004&amp;PERIODTYPE=ANN_STD&amp;SCFT=3&amp;window=popup_no_bar&amp;width=385&amp;height=120&amp;START_MAXIMIZED=FALSE&amp;creator=factset&amp;display_string=Audit"}</definedName>
    <definedName name="_698__FDSAUDITLINK__">{"fdsup://Directions/FactSet Auditing Viewer?action=AUDIT_VALUE&amp;DB=129&amp;ID1=14912310&amp;VALUEID=02051&amp;SDATE=2010&amp;PERIODTYPE=ANN_STD&amp;SCFT=3&amp;window=popup_no_bar&amp;width=385&amp;height=120&amp;START_MAXIMIZED=FALSE&amp;creator=factset&amp;display_string=Audit"}</definedName>
    <definedName name="_699__FDSAUDITLINK__">{"fdsup://Directions/FactSet Auditing Viewer?action=AUDIT_VALUE&amp;DB=129&amp;ID1=14912310&amp;VALUEID=02051&amp;SDATE=2005&amp;PERIODTYPE=ANN_STD&amp;SCFT=3&amp;window=popup_no_bar&amp;width=385&amp;height=120&amp;START_MAXIMIZED=FALSE&amp;creator=factset&amp;display_string=Audit"}</definedName>
    <definedName localSheetId="0" name="_7__123Graph_BCHART_4">'[17]Historical IS'!#REF!</definedName>
    <definedName name="_7__123Graph_BCHART_4">'[17]Historical IS'!#REF!</definedName>
    <definedName localSheetId="0" name="_7__123Graph_LBL_ACHART_1">[21]Sum!#REF!</definedName>
    <definedName name="_7__123Graph_LBL_ACHART_1">[21]Sum!#REF!</definedName>
    <definedName name="_7__123Graph_XChart_1A">[15]A!$C$93:$Q$93</definedName>
    <definedName name="_7__FDSAUDITLINK__">{"fdsup://directions/FAT Viewer?action=UPDATE&amp;creator=factset&amp;DYN_ARGS=TRUE&amp;DOC_NAME=FAT:FQL_AUDITING_CLIENT_TEMPLATE.FAT&amp;display_string=Audit&amp;VAR:KEY=YVQJGZGTCP&amp;VAR:QUERY=RkZfQlBTX1RBTkcoQU5OLC05LDAsWSxSUCxMT0NBTCxNKQ==&amp;WINDOW=FIRST_POPUP&amp;HEIGHT=450&amp;WIDTH=","450&amp;START_MAXIMIZED=FALSE&amp;VAR:CALENDAR=US&amp;VAR:SYMBOL=14912310&amp;VAR:INDEX=3"}</definedName>
    <definedName name="_70__FDSAUDITLINK__">{"fdsup://Directions/FactSet Auditing Viewer?action=AUDIT_VALUE&amp;DB=129&amp;ID1=14912310&amp;VALUEID=03499&amp;SDATE=2004&amp;PERIODTYPE=ANN_STD&amp;SCFT=3&amp;window=popup_no_bar&amp;width=385&amp;height=120&amp;START_MAXIMIZED=FALSE&amp;creator=factset&amp;display_string=Audit"}</definedName>
    <definedName name="_700__FDSAUDITLINK__">{"fdsup://Directions/FactSet Auditing Viewer?action=AUDIT_VALUE&amp;DB=129&amp;ID1=14912310&amp;VALUEID=02001&amp;SDATE=2010&amp;PERIODTYPE=ANN_STD&amp;SCFT=3&amp;window=popup_no_bar&amp;width=385&amp;height=120&amp;START_MAXIMIZED=FALSE&amp;creator=factset&amp;display_string=Audit"}</definedName>
    <definedName name="_701__FDSAUDITLINK__">{"fdsup://Directions/FactSet Auditing Viewer?action=AUDIT_VALUE&amp;DB=129&amp;ID1=14912310&amp;VALUEID=02001&amp;SDATE=2005&amp;PERIODTYPE=ANN_STD&amp;SCFT=3&amp;window=popup_no_bar&amp;width=385&amp;height=120&amp;START_MAXIMIZED=FALSE&amp;creator=factset&amp;display_string=Audit"}</definedName>
    <definedName name="_71__FDSAUDITLINK__">{"fdsup://directions/FAT Viewer?action=UPDATE&amp;creator=factset&amp;DYN_ARGS=TRUE&amp;DOC_NAME=FAT:FQL_AUDITING_CLIENT_TEMPLATE.FAT&amp;display_string=Audit&amp;VAR:KEY=ZCBCJSZOTA&amp;VAR:QUERY=RkZfRUJJVERBX09QRVIoQU5OLC05LDAsWSxSUCxMT0NBTCxNKQ==&amp;WINDOW=FIRST_POPUP&amp;HEIGHT=450&amp;WI","DTH=450&amp;START_MAXIMIZED=FALSE&amp;VAR:CALENDAR=US&amp;VAR:SYMBOL=14912310&amp;VAR:INDEX=2"}</definedName>
    <definedName name="_72__FDSAUDITLINK__">{"fdsup://Directions/FactSet Auditing Viewer?action=AUDIT_VALUE&amp;DB=129&amp;ID1=14912310&amp;VALUEID=03493&amp;SDATE=2009&amp;PERIODTYPE=ANN_STD&amp;SCFT=3&amp;window=popup_no_bar&amp;width=385&amp;height=120&amp;START_MAXIMIZED=FALSE&amp;creator=factset&amp;display_string=Audit"}</definedName>
    <definedName name="_73__FDSAUDITLINK__">{"fdsup://directions/FAT Viewer?action=UPDATE&amp;creator=factset&amp;DYN_ARGS=TRUE&amp;DOC_NAME=FAT:FQL_AUDITING_CLIENT_TEMPLATE.FAT&amp;display_string=Audit&amp;VAR:KEY=UNYXYVANEL&amp;VAR:QUERY=UENUQ0hHKEZGX0VQU19ESUwoQU5OLC05LDAsWSxSUCxMT0NBTCxNKSxGRl9FUFNfRElMKEFOTiwtMSwtOSAtI","DEsWSxSUCxMT0NBTCxNKSk=&amp;WINDOW=FIRST_POPUP&amp;HEIGHT=450&amp;WIDTH=450&amp;START_MAXIMIZED=FALSE&amp;VAR:CALENDAR=US&amp;VAR:SYMBOL=14912310&amp;VAR:INDEX=9"}</definedName>
    <definedName name="_74__FDSAUDITLINK__">{"fdsup://Directions/FactSet Auditing Viewer?action=AUDIT_VALUE&amp;DB=129&amp;ID1=14912310&amp;VALUEID=03493&amp;SDATE=2007&amp;PERIODTYPE=ANN_STD&amp;SCFT=3&amp;window=popup_no_bar&amp;width=385&amp;height=120&amp;START_MAXIMIZED=FALSE&amp;creator=factset&amp;display_string=Audit"}</definedName>
    <definedName name="_7410__FDSAUDITLINK__">{"fdsup://directions/FAT Viewer?action=UPDATE&amp;creator=factset&amp;DYN_ARGS=TRUE&amp;DOC_NAME=FAT:FQL_AUDITING_CLIENT_TEMPLATE.FAT&amp;display_string=Audit&amp;VAR:KEY=XABCNQPGZW&amp;VAR:QUERY=KEZGX0VCSVRfSUIoLDIwMTMsLCxSRixDQUQpQEVDQV9NRURfRUJJVCgyMDEzLCwsLCdDVVI9Q0FEJykp&amp;WIND","OW=FIRST_POPUP&amp;HEIGHT=450&amp;WIDTH=450&amp;START_MAXIMIZED=FALSE&amp;VAR:CALENDAR=FIVEDAY&amp;VAR:SYMBOL=235795&amp;VAR:INDEX=0"}</definedName>
    <definedName name="_75__FDSAUDITLINK__">{"fdsup://Directions/FactSet Auditing Viewer?action=AUDIT_VALUE&amp;DB=129&amp;ID1=14912310&amp;VALUEID=03493&amp;SDATE=2006&amp;PERIODTYPE=ANN_STD&amp;SCFT=3&amp;window=popup_no_bar&amp;width=385&amp;height=120&amp;START_MAXIMIZED=FALSE&amp;creator=factset&amp;display_string=Audit"}</definedName>
    <definedName name="_76__FDSAUDITLINK__">{"fdsup://Directions/FactSet Auditing Viewer?action=AUDIT_VALUE&amp;DB=129&amp;ID1=14912310&amp;VALUEID=03493&amp;SDATE=2004&amp;PERIODTYPE=ANN_STD&amp;SCFT=3&amp;window=popup_no_bar&amp;width=385&amp;height=120&amp;START_MAXIMIZED=FALSE&amp;creator=factset&amp;display_string=Audit"}</definedName>
    <definedName name="_77__FDSAUDITLINK__">{"fdsup://directions/FAT Viewer?action=UPDATE&amp;creator=factset&amp;DYN_ARGS=TRUE&amp;DOC_NAME=FAT:FQL_AUDITING_CLIENT_TEMPLATE.FAT&amp;display_string=Audit&amp;VAR:KEY=UNYXYVANEL&amp;VAR:QUERY=UENUQ0hHKEZGX0VQU19ESUwoQU5OLC05LDAsWSxSUCxMT0NBTCxNKSxGRl9FUFNfRElMKEFOTiwtMSwtOSAtI","DEsWSxSUCxMT0NBTCxNKSk=&amp;WINDOW=FIRST_POPUP&amp;HEIGHT=450&amp;WIDTH=450&amp;START_MAXIMIZED=FALSE&amp;VAR:CALENDAR=US&amp;VAR:SYMBOL=14912310&amp;VAR:INDEX=5"}</definedName>
    <definedName name="_78__FDSAUDITLINK__">{"fdsup://Directions/FactSet Auditing Viewer?action=AUDIT_VALUE&amp;DB=129&amp;ID1=14912310&amp;VALUEID=03498&amp;SDATE=2009&amp;PERIODTYPE=ANN_STD&amp;SCFT=3&amp;window=popup_no_bar&amp;width=385&amp;height=120&amp;START_MAXIMIZED=FALSE&amp;creator=factset&amp;display_string=Audit"}</definedName>
    <definedName name="_79__FDSAUDITLINK__">{"fdsup://directions/FAT Viewer?action=UPDATE&amp;creator=factset&amp;DYN_ARGS=TRUE&amp;DOC_NAME=FAT:FQL_AUDITING_CLIENT_TEMPLATE.FAT&amp;display_string=Audit&amp;VAR:KEY=UNYXYVANEL&amp;VAR:QUERY=UENUQ0hHKEZGX0VQU19ESUwoQU5OLC05LDAsWSxSUCxMT0NBTCxNKSxGRl9FUFNfRElMKEFOTiwtMSwtOSAtI","DEsWSxSUCxMT0NBTCxNKSk=&amp;WINDOW=FIRST_POPUP&amp;HEIGHT=450&amp;WIDTH=450&amp;START_MAXIMIZED=FALSE&amp;VAR:CALENDAR=US&amp;VAR:SYMBOL=14912310&amp;VAR:INDEX=3"}</definedName>
    <definedName localSheetId="0" name="_8__123Graph_BCHART_8">'[17]Historical IS'!#REF!</definedName>
    <definedName name="_8__123Graph_BCHART_8">'[17]Historical IS'!#REF!</definedName>
    <definedName localSheetId="0" name="_8__123Graph_LBL_ACHART_2">[21]Sum!#REF!</definedName>
    <definedName name="_8__123Graph_LBL_ACHART_2">[21]Sum!#REF!</definedName>
    <definedName localSheetId="0" name="_8__123Graph_XCRECIM">'[1]Base diaria'!#REF!</definedName>
    <definedName name="_8__123Graph_XCRECIM">'[1]Base diaria'!#REF!</definedName>
    <definedName name="_8__FDSAUDITLINK__">{"fdsup://directions/FAT Viewer?action=UPDATE&amp;creator=factset&amp;DYN_ARGS=TRUE&amp;DOC_NAME=FAT:FQL_AUDITING_CLIENT_TEMPLATE.FAT&amp;display_string=Audit&amp;VAR:KEY=YVQJGZGTCP&amp;VAR:QUERY=RkZfQlBTX1RBTkcoQU5OLC05LDAsWSxSUCxMT0NBTCxNKQ==&amp;WINDOW=FIRST_POPUP&amp;HEIGHT=450&amp;WIDTH=","450&amp;START_MAXIMIZED=FALSE&amp;VAR:CALENDAR=US&amp;VAR:SYMBOL=14912310&amp;VAR:INDEX=2"}</definedName>
    <definedName name="_80__FDSAUDITLINK__">{"fdsup://Directions/FactSet Auditing Viewer?action=AUDIT_VALUE&amp;DB=129&amp;ID1=14912310&amp;VALUEID=03498&amp;SDATE=2007&amp;PERIODTYPE=ANN_STD&amp;SCFT=3&amp;window=popup_no_bar&amp;width=385&amp;height=120&amp;START_MAXIMIZED=FALSE&amp;creator=factset&amp;display_string=Audit"}</definedName>
    <definedName name="_81__FDSAUDITLINK__">{"fdsup://Directions/FactSet Auditing Viewer?action=AUDIT_VALUE&amp;DB=129&amp;ID1=14912310&amp;VALUEID=03498&amp;SDATE=2006&amp;PERIODTYPE=ANN_STD&amp;SCFT=3&amp;window=popup_no_bar&amp;width=385&amp;height=120&amp;START_MAXIMIZED=FALSE&amp;creator=factset&amp;display_string=Audit"}</definedName>
    <definedName name="_82__FDSAUDITLINK__">{"fdsup://Directions/FactSet Auditing Viewer?action=AUDIT_VALUE&amp;DB=129&amp;ID1=14912310&amp;VALUEID=03498&amp;SDATE=2004&amp;PERIODTYPE=ANN_STD&amp;SCFT=3&amp;window=popup_no_bar&amp;width=385&amp;height=120&amp;START_MAXIMIZED=FALSE&amp;creator=factset&amp;display_string=Audit"}</definedName>
    <definedName name="_83__FDSAUDITLINK__">{"fdsup://directions/FAT Viewer?action=UPDATE&amp;creator=factset&amp;DYN_ARGS=TRUE&amp;DOC_NAME=FAT:FQL_AUDITING_CLIENT_TEMPLATE.FAT&amp;display_string=Audit&amp;VAR:KEY=JGFADWFEPI&amp;VAR:QUERY=RkZfRVBTX0RJTChBTk4sLTksMCxZLFJQLExPQ0FMLE0p&amp;WINDOW=FIRST_POPUP&amp;HEIGHT=450&amp;WIDTH=450&amp;","START_MAXIMIZED=FALSE&amp;VAR:CALENDAR=US&amp;VAR:SYMBOL=14912310&amp;VAR:INDEX=8"}</definedName>
    <definedName name="_84__FDSAUDITLINK__">{"fdsup://Directions/FactSet Auditing Viewer?action=AUDIT_VALUE&amp;DB=129&amp;ID1=14912310&amp;VALUEID=03497&amp;SDATE=2009&amp;PERIODTYPE=ANN_STD&amp;SCFT=3&amp;window=popup_no_bar&amp;width=385&amp;height=120&amp;START_MAXIMIZED=FALSE&amp;creator=factset&amp;display_string=Audit"}</definedName>
    <definedName name="_85__FDSAUDITLINK__">{"fdsup://directions/FAT Viewer?action=UPDATE&amp;creator=factset&amp;DYN_ARGS=TRUE&amp;DOC_NAME=FAT:FQL_AUDITING_CLIENT_TEMPLATE.FAT&amp;display_string=Audit&amp;VAR:KEY=JGFADWFEPI&amp;VAR:QUERY=RkZfRVBTX0RJTChBTk4sLTksMCxZLFJQLExPQ0FMLE0p&amp;WINDOW=FIRST_POPUP&amp;HEIGHT=450&amp;WIDTH=450&amp;","START_MAXIMIZED=FALSE&amp;VAR:CALENDAR=US&amp;VAR:SYMBOL=14912310&amp;VAR:INDEX=6"}</definedName>
    <definedName name="_86__FDSAUDITLINK__">{"fdsup://Directions/FactSet Auditing Viewer?action=AUDIT_VALUE&amp;DB=129&amp;ID1=14912310&amp;VALUEID=03497&amp;SDATE=2007&amp;PERIODTYPE=ANN_STD&amp;SCFT=3&amp;window=popup_no_bar&amp;width=385&amp;height=120&amp;START_MAXIMIZED=FALSE&amp;creator=factset&amp;display_string=Audit"}</definedName>
    <definedName name="_87__FDSAUDITLINK__">{"fdsup://Directions/FactSet Auditing Viewer?action=AUDIT_VALUE&amp;DB=129&amp;ID1=14912310&amp;VALUEID=03497&amp;SDATE=2006&amp;PERIODTYPE=ANN_STD&amp;SCFT=3&amp;window=popup_no_bar&amp;width=385&amp;height=120&amp;START_MAXIMIZED=FALSE&amp;creator=factset&amp;display_string=Audit"}</definedName>
    <definedName name="_88__FDSAUDITLINK__">{"fdsup://Directions/FactSet Auditing Viewer?action=AUDIT_VALUE&amp;DB=129&amp;ID1=14912310&amp;VALUEID=03497&amp;SDATE=2004&amp;PERIODTYPE=ANN_STD&amp;SCFT=3&amp;window=popup_no_bar&amp;width=385&amp;height=120&amp;START_MAXIMIZED=FALSE&amp;creator=factset&amp;display_string=Audit"}</definedName>
    <definedName name="_89__FDSAUDITLINK__">{"fdsup://directions/FAT Viewer?action=UPDATE&amp;creator=factset&amp;DYN_ARGS=TRUE&amp;DOC_NAME=FAT:FQL_AUDITING_CLIENT_TEMPLATE.FAT&amp;display_string=Audit&amp;VAR:KEY=JGFADWFEPI&amp;VAR:QUERY=RkZfRVBTX0RJTChBTk4sLTksMCxZLFJQLExPQ0FMLE0p&amp;WINDOW=FIRST_POPUP&amp;HEIGHT=450&amp;WIDTH=450&amp;","START_MAXIMIZED=FALSE&amp;VAR:CALENDAR=US&amp;VAR:SYMBOL=14912310&amp;VAR:INDEX=2"}</definedName>
    <definedName localSheetId="0" name="_9__123Graph_BCRECIM">'[1]Base diaria'!#REF!</definedName>
    <definedName name="_9__123Graph_BCRECIM">'[1]Base diaria'!#REF!</definedName>
    <definedName localSheetId="0" name="_9__123Graph_CCHART_1">'[17]Historical IS'!#REF!</definedName>
    <definedName name="_9__123Graph_CCHART_1">'[17]Historical IS'!#REF!</definedName>
    <definedName localSheetId="0" name="_9__123Graph_XCHART_1">[21]Sum!#REF!</definedName>
    <definedName name="_9__123Graph_XCHART_1">[21]Sum!#REF!</definedName>
    <definedName name="_9__FDSAUDITLINK__">{"fdsup://directions/FAT Viewer?action=UPDATE&amp;creator=factset&amp;DYN_ARGS=TRUE&amp;DOC_NAME=FAT:FQL_AUDITING_CLIENT_TEMPLATE.FAT&amp;display_string=Audit&amp;VAR:KEY=YVQJGZGTCP&amp;VAR:QUERY=RkZfQlBTX1RBTkcoQU5OLC05LDAsWSxSUCxMT0NBTCxNKQ==&amp;WINDOW=FIRST_POPUP&amp;HEIGHT=450&amp;WIDTH=","450&amp;START_MAXIMIZED=FALSE&amp;VAR:CALENDAR=US&amp;VAR:SYMBOL=14912310&amp;VAR:INDEX=1"}</definedName>
    <definedName name="_90__FDSAUDITLINK__">{"fdsup://Directions/FactSet Auditing Viewer?action=AUDIT_VALUE&amp;DB=129&amp;ID1=14912310&amp;VALUEID=03495&amp;SDATE=2009&amp;PERIODTYPE=ANN_STD&amp;SCFT=3&amp;window=popup_no_bar&amp;width=385&amp;height=120&amp;START_MAXIMIZED=FALSE&amp;creator=factset&amp;display_string=Audit"}</definedName>
    <definedName name="_91__FDSAUDITLINK__">{"fdsup://directions/FAT Viewer?action=UPDATE&amp;creator=factset&amp;DYN_ARGS=TRUE&amp;DOC_NAME=FAT:FQL_AUDITING_CLIENT_TEMPLATE.FAT&amp;display_string=Audit&amp;VAR:KEY=UPSVORCXET&amp;VAR:QUERY=UENUQ0hHKEZGX0VQU19CQVNJQyhBTk4sLTksMCxZLFJQLExPQ0FMLE0pLEZGX0VQU19CQVNJQyhBTk4sLTEsL","TkgLSAxLFksUlAsTE9DQUwsTSkp&amp;WINDOW=FIRST_POPUP&amp;HEIGHT=450&amp;WIDTH=450&amp;START_MAXIMIZED=FALSE&amp;VAR:CALENDAR=US&amp;VAR:SYMBOL=14912310&amp;VAR:INDEX=9"}</definedName>
    <definedName name="_92__FDSAUDITLINK__">{"fdsup://Directions/FactSet Auditing Viewer?action=AUDIT_VALUE&amp;DB=129&amp;ID1=14912310&amp;VALUEID=03495&amp;SDATE=2007&amp;PERIODTYPE=ANN_STD&amp;SCFT=3&amp;window=popup_no_bar&amp;width=385&amp;height=120&amp;START_MAXIMIZED=FALSE&amp;creator=factset&amp;display_string=Audit"}</definedName>
    <definedName name="_93__FDSAUDITLINK__">{"fdsup://Directions/FactSet Auditing Viewer?action=AUDIT_VALUE&amp;DB=129&amp;ID1=14912310&amp;VALUEID=03495&amp;SDATE=2006&amp;PERIODTYPE=ANN_STD&amp;SCFT=3&amp;window=popup_no_bar&amp;width=385&amp;height=120&amp;START_MAXIMIZED=FALSE&amp;creator=factset&amp;display_string=Audit"}</definedName>
    <definedName name="_94__FDSAUDITLINK__">{"fdsup://Directions/FactSet Auditing Viewer?action=AUDIT_VALUE&amp;DB=129&amp;ID1=14912310&amp;VALUEID=03495&amp;SDATE=2004&amp;PERIODTYPE=ANN_STD&amp;SCFT=3&amp;window=popup_no_bar&amp;width=385&amp;height=120&amp;START_MAXIMIZED=FALSE&amp;creator=factset&amp;display_string=Audit"}</definedName>
    <definedName name="_95__FDSAUDITLINK__">{"fdsup://directions/FAT Viewer?action=UPDATE&amp;creator=factset&amp;DYN_ARGS=TRUE&amp;DOC_NAME=FAT:FQL_AUDITING_CLIENT_TEMPLATE.FAT&amp;display_string=Audit&amp;VAR:KEY=UPSVORCXET&amp;VAR:QUERY=UENUQ0hHKEZGX0VQU19CQVNJQyhBTk4sLTksMCxZLFJQLExPQ0FMLE0pLEZGX0VQU19CQVNJQyhBTk4sLTEsL","TkgLSAxLFksUlAsTE9DQUwsTSkp&amp;WINDOW=FIRST_POPUP&amp;HEIGHT=450&amp;WIDTH=450&amp;START_MAXIMIZED=FALSE&amp;VAR:CALENDAR=US&amp;VAR:SYMBOL=14912310&amp;VAR:INDEX=5"}</definedName>
    <definedName name="_96__FDSAUDITLINK__">{"fdsup://Directions/FactSet Auditing Viewer?action=AUDIT_VALUE&amp;DB=129&amp;ID1=14912310&amp;VALUEID=03480&amp;SDATE=2009&amp;PERIODTYPE=ANN_STD&amp;SCFT=3&amp;window=popup_no_bar&amp;width=385&amp;height=120&amp;START_MAXIMIZED=FALSE&amp;creator=factset&amp;display_string=Audit"}</definedName>
    <definedName name="_97__FDSAUDITLINK__">{"fdsup://Directions/FactSet Auditing Viewer?action=AUDIT_VALUE&amp;DB=129&amp;ID1=14912310&amp;VALUEID=03480&amp;SDATE=2007&amp;PERIODTYPE=ANN_STD&amp;SCFT=3&amp;window=popup_no_bar&amp;width=385&amp;height=120&amp;START_MAXIMIZED=FALSE&amp;creator=factset&amp;display_string=Audit"}</definedName>
    <definedName name="_98__FDSAUDITLINK__">{"fdsup://Directions/FactSet Auditing Viewer?action=AUDIT_VALUE&amp;DB=129&amp;ID1=14912310&amp;VALUEID=03480&amp;SDATE=2006&amp;PERIODTYPE=ANN_STD&amp;SCFT=3&amp;window=popup_no_bar&amp;width=385&amp;height=120&amp;START_MAXIMIZED=FALSE&amp;creator=factset&amp;display_string=Audit"}</definedName>
    <definedName name="_99__FDSAUDITLINK__">{"fdsup://Directions/FactSet Auditing Viewer?action=AUDIT_VALUE&amp;DB=129&amp;ID1=14912310&amp;VALUEID=03480&amp;SDATE=2004&amp;PERIODTYPE=ANN_STD&amp;SCFT=3&amp;window=popup_no_bar&amp;width=385&amp;height=120&amp;START_MAXIMIZED=FALSE&amp;creator=factset&amp;display_string=Audit"}</definedName>
    <definedName name="_a100">{#N/A,#N/A,TRUE,"Top";#N/A,#N/A,TRUE,"Quarter";#N/A,#N/A,TRUE,"Variance";#N/A,#N/A,TRUE,"Forecast";#N/A,#N/A,TRUE,"ForecastMnthly";#N/A,#N/A,TRUE,"ForecastQtrly";#N/A,#N/A,TRUE,"Actual"}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0</definedName>
    <definedName name="_AtRisk_SimSetting_ReportsList">20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B2">{"SchG1",#N/A,FALSE,"Schedules";"SchG2",#N/A,FALSE,"Schedules"}</definedName>
    <definedName name="_bdm.033C1BE08830470FA0EEB716A52BAEE5.edm">'[22]19_28. FY 2012 Avg. Trans'!$1:$1048576</definedName>
    <definedName name="_bdm.03FE8E19803C4E6F8CDCB12364751CF4.edm">'[23]FY2012 Merchandise Gross Margin'!$1:$1048576</definedName>
    <definedName name="_bdm.046A638C802248F7B38B24909C989CC5.edm">'[22]19_28. FY 2012 Avg. Trans'!$1:$1048576</definedName>
    <definedName name="_bdm.07C3736F260A4902BD158A5B9065BAB4.edm">'[22]45. Historical Financials'!$1:$1048576</definedName>
    <definedName name="_bdm.080B66CDF7FE4A909BD997D72418FAFA.edm">'[22]35. Store Openings Summary'!$1:$1048576</definedName>
    <definedName name="_bdm.0C0DAECD523F429A937C578A05E539C2.edm">'[22]29. Category Inv Turns'!$1:$1048576</definedName>
    <definedName name="_bdm.0C43EA2C0A3349598A248385C7066830.edm">'[22]19_28. FY 2012 Avg. Trans'!$1:$1048576</definedName>
    <definedName name="_bdm.10373470CE584C8AB9DFE4CC24940D3A.edm">'[22]3 Months FY2013 Perf.'!$1:$1048576</definedName>
    <definedName name="_bdm.11C63AE3874A482F849A11713FC00718.edm">'[22]19. SSS Chart'!$1:$1048576</definedName>
    <definedName name="_bdm.120F5EEA86E44386B55327728B88FA58.edm">'[22]19_28. FY 2012 Avg. Trans'!$1:$1048576</definedName>
    <definedName name="_bdm.157A7179E3B044168151D840BA594EA0.edm">'[22]19. SSS Chart'!$1:$1048576</definedName>
    <definedName name="_bdm.164F21CA22094A1F8735E0923A532917.edm">'[22]19_28. FY 2012 Avg. Trans'!$1:$1048576</definedName>
    <definedName name="_bdm.198A2AB997944011A75CFF979439653C.edm">'[22]29. Category Inv Turns'!$1:$1048576</definedName>
    <definedName name="_bdm.1DC1B42A7A43408B925DFD9EE068E8D1.edm">'[22]35. Store Openings Summary'!$1:$1048576</definedName>
    <definedName name="_bdm.24F2715A546E4A0BAE8CF976D818F37E.edm">'[22]45. Historical Financials'!$1:$1048576</definedName>
    <definedName name="_bdm.2672EDF165A547AD8F4C9064566F6484.edm">'[22]19. SSS Chart'!$1:$1048576</definedName>
    <definedName name="_bdm.27E6121DC6E94E15BA2C576FA78D23D7.edm">'[22]41. Daily Staffing Chart'!$1:$1048576</definedName>
    <definedName name="_bdm.28311EA861614192BB0102F2C5E782CA.edm">[24]Sheet1!$A:$IV</definedName>
    <definedName name="_bdm.286083D5A64548F59FBCF17CA740AE18.edm">'[22]40. IT'!$1:$1048576</definedName>
    <definedName name="_bdm.2BDD7D7DDF944AA88E6627BA90809B48.edm">'[22]19. SSS Chart'!$1:$1048576</definedName>
    <definedName name="_bdm.2DDB2874CD704CF392A4CF5A1899B788.edm">'[22]19. Shrink'!$1:$1048576</definedName>
    <definedName name="_bdm.2DFA026E4E1D44E0A07E3C0DA584F54B.edm">'[25]Data - EBITDA'!$A:$IV</definedName>
    <definedName name="_bdm.2FBB5213FC9E4ECF9FC6ADDBAD406F6E.edm">[24]Sheet3!$A:$IV</definedName>
    <definedName name="_bdm.399F3DA9A0C04A1FB6D5E30F0A5261EF.edm">'[22]35. Store Openings Summary'!$1:$1048576</definedName>
    <definedName name="_bdm.4204956EAB15492F944AF9FB82E2552C.edm">'[22]45. Historical Financials'!$1:$1048576</definedName>
    <definedName name="_bdm.4A91F27427AC4BBEAFF8107A7A3EC50C.edm">'[22]45. Historical Financials'!$1:$1048576</definedName>
    <definedName name="_bdm.543DFB93540B4E55BD4FD55F1C5489C4.edm">'[23]FY2012 Merchandise Gross Margin'!$1:$1048576</definedName>
    <definedName name="_bdm.558461945B364A7F96B0D99D229BBDEC.edm">'[22]19_28. FY 2012 Avg. Trans'!$1:$1048576</definedName>
    <definedName name="_bdm.561ADF8F1DEC438DAA090E3269DFF7E0.edm">'[23]FY2012 Merchandise Gross Margin'!$1:$1048576</definedName>
    <definedName name="_bdm.5D242A7AFC00401A8EA12821CF495E59.edm">'[22]41. Daily Staffing Chart'!$1:$1048576</definedName>
    <definedName name="_bdm.5DA580A0A3BD4C278DA6D63AE4774768.edm">'[22]35. Store Openings (New Capex)'!$1:$1048576</definedName>
    <definedName name="_bdm.5E0BBECFD1974A9C9C84F3FEF39AD74F.edm">'[22]35. Store Openings Summary'!$1:$1048576</definedName>
    <definedName name="_bdm.5EE7843A8FCE42B0ADBF5FBD4707C67E.edm">'[22]19_28. FY 2012 Avg. Trans'!$1:$1048576</definedName>
    <definedName name="_bdm.5F3BA0B810144F84A904CE25B50AB98C.edm">'[22]35. Store Openings Summary'!$1:$1048576</definedName>
    <definedName name="_bdm.5FCFBC52BFEB4CEE948DE2B9B637C1FF.edm">'[22]37. Expiring Leases by FY'!$1:$1048576</definedName>
    <definedName name="_bdm.60160D4FB2C74DC0AEE9231724C6EB28.edm">'[23]Employee Daily Staffing Chart'!$1:$1048576</definedName>
    <definedName name="_bdm.638A9D3425B744F8AFE894D51B5466C6.edm">'[22]45. Historical Financials'!$1:$1048576</definedName>
    <definedName name="_bdm.662D5AA5C03247A6B0BCE48523ABE3E2.edm">'[23]FY2012 Merchandise Gross Margin'!$1:$1048576</definedName>
    <definedName name="_bdm.68880587E53D4B548D0A7920B9775613.edm">'[22]45. Historical Financials'!$1:$1048576</definedName>
    <definedName name="_bdm.6C0F2AD0E03F4EE8A8C3D60B08C82958.edm">'[22]45. Historical Financials'!$1:$1048576</definedName>
    <definedName name="_bdm.6F4F36F4935D42A48893A752D089077A.edm">'[22]45. Historical Financials'!$1:$1048576</definedName>
    <definedName name="_bdm.755D0CEA53024287802EB02AB2CF0E30.edm">'[22]45. Historical Financials'!$1:$1048576</definedName>
    <definedName name="_bdm.79080FA8B1DB44C2BDDC6DA897E8B8FB.edm">'[22]35. Store Openings Summary'!$1:$1048576</definedName>
    <definedName name="_bdm.79B78EA21F60444F9511C7E841AA8245.edm">'[22]45. Historical Financials'!$1:$1048576</definedName>
    <definedName name="_bdm.7FC1563CE3E443908BEB950B2E1DAF43.edm">'[22]41. Daily Staffing Chart'!$1:$1048576</definedName>
    <definedName name="_bdm.80340559CE674F58943D8E7EC86DBA4F.edm">'[23]FY2012 Merchandise Gross Margin'!$1:$1048576</definedName>
    <definedName name="_bdm.81D137673F414007A6EEEA0DD505E62F.edm">'[22]29. Category Inv Turns'!$1:$1048576</definedName>
    <definedName name="_bdm.85FDC6D731AF4792A9B62EFB58117BFF.edm">'[23]FY2012 Merchandise Gross Margin'!$1:$1048576</definedName>
    <definedName name="_bdm.8A6C8F513A2443809A4C437C68C7D1A9.edm">'[22]31. Bus. Dev. Revenue'!$1:$1048576</definedName>
    <definedName name="_bdm.8A7C6C11398D473E8F7346F900A53469.edm">'[22]41. Daily Staffing Chart'!$1:$1048576</definedName>
    <definedName name="_bdm.8B6A3F9B66334120804DB28EE2982DEA.edm">'[22]19. Shrink'!$1:$1048576</definedName>
    <definedName name="_bdm.915010BED461454BB0B36CFF7CC53B18.edm">'[22]19. SSS Chart'!$1:$1048576</definedName>
    <definedName name="_bdm.979728F44D7544BBBBA4F62C1138292B.edm">'[22]45. Historical Financials'!$1:$1048576</definedName>
    <definedName name="_bdm.996BBFBB11764B178620E5583BCE64E0.edm">'[22]45. Historical Financials'!$1:$1048576</definedName>
    <definedName name="_bdm.9EA6DE0CADDB4633933E62BD5A305EFC.edm">'[22]45. Historical Financials'!$1:$1048576</definedName>
    <definedName name="_bdm.A461429C9031486FB2F0065DF9EE18F7.edm">'[22]45. Historical Financials'!$1:$1048576</definedName>
    <definedName name="_bdm.ADE63A88559244DBA6492ADE6B9297B3.edm">'[22]45. Historical Financials'!$1:$1048576</definedName>
    <definedName name="_bdm.B5D2320270BA44D98B1946B72E0C7B19.edm">'[22]29. Category Inv Turns'!$1:$1048576</definedName>
    <definedName name="_bdm.BF9E558C6CC049A68A3CD2D1AB9CECCE.edm">'[22]45. Historical Financials'!$1:$1048576</definedName>
    <definedName name="_bdm.C47EA9E544F746E3B9FECD2419A9A085.edm">'[22]14. Competitors LTM EBITDA'!$1:$1048576</definedName>
    <definedName name="_bdm.C641316AB3C943718B6793A51E8C6C36.edm">'[22]19. SSS Chart'!$1:$1048576</definedName>
    <definedName name="_bdm.C809E58269C8479E883698C0137D392E.edm">'[22]29. Category Inv Turns'!$1:$1048576</definedName>
    <definedName name="_bdm.C99EA7ABE0CE44F9B22AC68AE8CBD880.edm">'[22]41. Daily Staffing Chart'!$1:$1048576</definedName>
    <definedName name="_bdm.CA978EA3276D420DAE98111E3C55768D.edm">'[22]19. SSS Chart'!$1:$1048576</definedName>
    <definedName name="_bdm.CE733A6706C4454B970C9B1C13AFE6FB.edm">'[22]19. SSS Chart'!$1:$1048576</definedName>
    <definedName name="_bdm.D3620C61B2134FAFB56B7AB79CC84FA0.edm">'[22]19_28. FY 2012 Avg. Trans'!$1:$1048576</definedName>
    <definedName name="_bdm.D43C08AB025E4AA48932AA84F6B4CAF2.edm">'[23]FY2012 Merchandise Gross Margin'!$1:$1048576</definedName>
    <definedName name="_bdm.D4AC7C3B2A8948D19F18BFDE8677D87B.edm">'[23]FY2012 Merchandise Gross Margin'!$1:$1048576</definedName>
    <definedName name="_bdm.D5E561EBD92B4887A1BB5A944ECDBDFA.edm">'[22]35. Store Openings Summary'!$1:$1048576</definedName>
    <definedName name="_bdm.D72E1764A48D4963BF06B1E0D3A96BF3.edm">'[22]35. Store Openings Summary'!$1:$1048576</definedName>
    <definedName name="_bdm.D8B9FD60F817469DA1B9119F3D79A816.edm">'[23]FY2012 Merchandise Gross Margin'!$1:$1048576</definedName>
    <definedName name="_bdm.DBED0FF28B7F46BF836FE32D4DE46B03.edm">'[22]35. Store Openings (New Capex)'!$1:$1048576</definedName>
    <definedName name="_bdm.DD18E9E0452244068410F1B4C2D20C49.edm">'[22]19. SSS Chart'!$1:$1048576</definedName>
    <definedName name="_bdm.E3104FAC88154D659A5411BC4297C241.edm">'[22]19. SSS Chart'!$1:$1048576</definedName>
    <definedName name="_bdm.E7007B02542042AB85436E7CE631AED8.edm">'[25]Data - Rev'!$A:$IV</definedName>
    <definedName name="_bdm.E7B4E5293D254C31B55D42165E78B200.edm">'[22]45. Historical Financials'!$1:$1048576</definedName>
    <definedName name="_bdm.EA5D92C823394377B61E34B18C166F38.edm">'[22]31. Bus. Dev. Revenue'!$1:$1048576</definedName>
    <definedName name="_bdm.F0D45AAF0D9D40A0B78DF0D25E718074.edm">'[22]45. Historical Financials'!$1:$1048576</definedName>
    <definedName name="_bdm.F31117A820AD48B2B4A8C2F0B356A6E0.edm">'[22]14. Competitors CAGR'!$1:$1048576</definedName>
    <definedName name="_bdm.F3DE25EDEB57477B8828C41F3410B109.edm">'[22]45. Historical Financials'!$1:$1048576</definedName>
    <definedName name="_bdm.FCC21FF95AEB44BBB0353532FAA8DE3A.edm">'[23]FY2012 Merchandise Gross Margin'!$1:$1048576</definedName>
    <definedName name="_bdm.FE33857260CA4E359473DF24812728A9.edm">'[22]45. Historical Financials'!$1:$1048576</definedName>
    <definedName name="_BU4">{"Page 1",#N/A,TRUE,"Sheet1";"Page 2",#N/A,TRUE,"Sheet1"}</definedName>
    <definedName name="_BU5">{"Page 1",#N/A,TRUE,"Sheet1";"Page 2",#N/A,TRUE,"Sheet1"}</definedName>
    <definedName name="_cc">{#N/A,#N/A,FALSE,"ACH &amp; Subs.- Income Stmt.";#N/A,#N/A,FALSE,"ACH &amp; Subs.- Balance Sheet";#N/A,#N/A,FALSE,"ACH - Investment in Subs.";#N/A,#N/A,FALSE,"ALICC &amp; Subs.- Income Stmt.";#N/A,#N/A,FALSE,"ALICC &amp; Subs.- Balance Sheet";#N/A,#N/A,FALSE,"ALICC - Investment in Subs.";#N/A,#N/A,FALSE,"aliclob"}</definedName>
    <definedName name="_ccc1">{"001Blank",#N/A,TRUE,"Blank";"002SSMC_DL_1",#N/A,TRUE,"SSMC(DL's breakout)";"002SSMC_DL_2",#N/A,TRUE,"SSMC(DL's breakout)";"003SSMC_YTD",#N/A,TRUE,"SSMC";"008Fac_CMth",#N/A,TRUE,"Fac";"009Fac_YTD",#N/A,TRUE,"Fac"}</definedName>
    <definedName name="_ccc2">{"001Blank",#N/A,TRUE,"Blank";"002SSMC_DL_1",#N/A,TRUE,"SSMC(DL's breakout)";"002SSMC_DL_2",#N/A,TRUE,"SSMC(DL's breakout)";"003SSMC_YTD",#N/A,TRUE,"SSMC";"022Opn_CMth",#N/A,TRUE,"OPN";"023Opn_YTD",#N/A,TRUE,"OPN"}</definedName>
    <definedName name="_ccc4">{"DL's_Breakout",#N/A,TRUE,"SSMC(DL's breakout)";"02SSMC_YTD",#N/A,TRUE,"SSMC";"03GEN_CMth",#N/A,TRUE,"GEN";"04GEN_YTD",#N/A,TRUE,"GEN";"05Mgt_CMth",#N/A,TRUE,"Mgt";"06Mgt_YTD",#N/A,TRUE,"Mgt";"07Fac_CMth",#N/A,TRUE,"Fac";"08Fac_YTD",#N/A,TRUE,"Fac";"09Qly_CMth",#N/A,TRUE,"Qly";"10Qly_YTD",#N/A,TRUE,"Qly";"11F&amp;A_CMth",#N/A,TRUE,"F&amp;A";"12F&amp;A_YTD",#N/A,TRUE,"F&amp;A";"13SPCS_CMth",#N/A,TRUE,"SPCS";"14SPCS_YTD",#N/A,TRUE,"SPCS";"15HR_CMth",#N/A,TRUE,"HR";"16HR_YTD",#N/A,TRUE,"HR";"17Purch_CMth",#N/A,TRUE,"Purch";"18Purch_YTD",#N/A,TRUE,"Purch";"19Log_CMth",#N/A,TRUE,"Log";"20Log_YTD",#N/A,TRUE,"Log";"21OPN_CMth",#N/A,TRUE,"OPN";"22OPN_YTD",#N/A,TRUE,"OPN";"23TECH_CMth",#N/A,TRUE,"TECH";"24TECH_YTD",#N/A,TRUE,"TECH"}</definedName>
    <definedName name="_ccc5">{"DL's_Breakout",#N/A,TRUE,"SSMC(DL's breakout)";"02SSMC_YTD",#N/A,TRUE,"SSMC";"21OPN_CMth",#N/A,TRUE,"OPN";"22OPN_YTD",#N/A,TRUE,"OPN"}</definedName>
    <definedName name="_ccc6">{"DL's_Breakout",#N/A,TRUE,"SSMC(DL's breakout)";"02SSMC_YTD",#N/A,TRUE,"SSMC";"09Qly_CMth",#N/A,TRUE,"Qly";"10Qly_YTD",#N/A,TRUE,"Qly"}</definedName>
    <definedName name="_ccc7">{"DL's_Breakout",#N/A,TRUE,"SSMC(DL's breakout)";"02SSMC_YTD",#N/A,TRUE,"SSMC";"13SPCS_CMth",#N/A,TRUE,"SPCS";"14SPCS_YTD",#N/A,TRUE,"SPCS";"15HR_CMth",#N/A,TRUE,"HR";"16HR_YTD",#N/A,TRUE,"HR";"17Purch_CMth",#N/A,TRUE,"Purch";"18Purch_YTD",#N/A,TRUE,"Purch";"19Log_CMth",#N/A,TRUE,"Log";"20Log_YTD",#N/A,TRUE,"Log"}</definedName>
    <definedName name="_ccc8">{"DL's_Breakout",#N/A,TRUE,"SSMC(DL's breakout)";"02SSMC_YTD",#N/A,TRUE,"SSMC";"23TECH_CMth",#N/A,TRUE,"TECH";"24TECH_YTD",#N/A,TRUE,"TECH"}</definedName>
    <definedName name="_Co50">{#N/A,"DR",FALSE,"increm pf";#N/A,"MAMSI",FALSE,"increm pf";#N/A,"MAXI",FALSE,"increm pf";#N/A,"PCAM",FALSE,"increm pf";#N/A,"PHSV",FALSE,"increm pf";#N/A,"SIE",FALSE,"increm pf"}</definedName>
    <definedName name="_DCF1">{#N/A,#N/A,FALSE,"DCF Summary";#N/A,#N/A,FALSE,"Casema";#N/A,#N/A,FALSE,"Casema NoTel";#N/A,#N/A,FALSE,"UK";#N/A,#N/A,FALSE,"RCF";#N/A,#N/A,FALSE,"Intercable CZ";#N/A,#N/A,FALSE,"Interkabel P"}</definedName>
    <definedName name="_eva2">{"DCF",#N/A,FALSE,"CF"}</definedName>
    <definedName name="_eva2_1">{"DCF",#N/A,FALSE,"CF"}</definedName>
    <definedName name="_eva2_2">{"DCF",#N/A,FALSE,"CF"}</definedName>
    <definedName name="_eva2_3">{"DCF",#N/A,FALSE,"CF"}</definedName>
    <definedName name="_eva2_4">{"DCF",#N/A,FALSE,"CF"}</definedName>
    <definedName name="_eva2_5">{"DCF",#N/A,FALSE,"CF"}</definedName>
    <definedName name="_gfg2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_JLC1">{#N/A,#N/A,TRUE,"97plnfpg"}</definedName>
    <definedName name="_JLC3">{#N/A,#N/A,FALSE,"J97plnfp"}</definedName>
    <definedName localSheetId="0" name="_Key1">'[26]OTHFA-1'!#REF!</definedName>
    <definedName name="_Key1">'[26]OTHFA-1'!#REF!</definedName>
    <definedName localSheetId="0" name="_key3">'[27]key parameter1st'!#REF!</definedName>
    <definedName name="_key3">'[27]key parameter1st'!#REF!</definedName>
    <definedName name="_ll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_lll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localSheetId="0" name="_MatMult_A">[3]PESP!#REF!</definedName>
    <definedName name="_MatMult_A">[3]PESP!#REF!</definedName>
    <definedName localSheetId="0" name="_MatMult_B">[3]PESP!#REF!</definedName>
    <definedName name="_MatMult_B">[3]PESP!#REF!</definedName>
    <definedName name="_n260">{"'Clientes_acumulado'!$A$1:$G$177"}</definedName>
    <definedName name="_N6102">{"'Clientes_acumulado'!$A$1:$G$177"}</definedName>
    <definedName name="_not1">{#N/A,#N/A,TRUE,"Top";#N/A,#N/A,TRUE,"Quarter";#N/A,#N/A,TRUE,"Variance";#N/A,#N/A,TRUE,"Forecast";#N/A,#N/A,TRUE,"ForecastMnthly";#N/A,#N/A,TRUE,"ForecastQtrly";#N/A,#N/A,TRUE,"Actual"}</definedName>
    <definedName name="_not10">{#N/A,#N/A,TRUE,"Top";#N/A,#N/A,TRUE,"Quarter";#N/A,#N/A,TRUE,"Variance";#N/A,#N/A,TRUE,"Forecast";#N/A,#N/A,TRUE,"ForecastMnthly";#N/A,#N/A,TRUE,"ForecastQtrly";#N/A,#N/A,TRUE,"Actual"}</definedName>
    <definedName name="_not11">{"Detailed License Receipts",#N/A,FALSE,"F-InstallRec";"Maint Sched",#N/A,FALSE,"F-MainRec";#N/A,#N/A,FALSE,"F-OtherRec";"Other Detail",#N/A,FALSE,"F-OtherRec";"Con Month Rev",#N/A,FALSE,"F-ConSemRec";"Other Sched",#N/A,FALSE,"F-OtherRec";"Consulting Schedules",#N/A,FALSE,"F-ConSemRec";"Schedule",#N/A,FALSE,"A-CorpDisb";"Schedule",#N/A,FALSE,"A-AtwkDisb";#N/A,#N/A,FALSE,"F-CorpDisb";"Schedule",#N/A,FALSE,"F-CorpDisb";"Schedule",#N/A,FALSE,"F-AtwkDisb";"Detailed Assumptions",#N/A,FALSE,"F-CorpDisb";"Detailed Assumptions",#N/A,FALSE,"F-AtwkDisb";"Contract Assumptions",#N/A,FALSE,"Drivers";"Disbursement Drivers",#N/A,FALSE,"Drivers";"Detailed Triggers",#N/A,FALSE,"Triggers";"Quarter",#N/A,FALSE,"Triggers";"Rollout Contracts",#N/A,FALSE,"Triggers"}</definedName>
    <definedName name="_not12">{#N/A,#N/A,TRUE,"Forecast";#N/A,#N/A,TRUE,"ForecastMnthly";#N/A,#N/A,TRUE,"ForecastQtrly";#N/A,#N/A,TRUE,"Actual"}</definedName>
    <definedName name="_not13">{#N/A,#N/A,TRUE,"Top";#N/A,#N/A,TRUE,"Quarter";#N/A,#N/A,TRUE,"Variance"}</definedName>
    <definedName name="_not14">{#N/A,#N/A,FALSE,"Receipt Sums";#N/A,#N/A,FALSE,"Disburse Sums";"Rec Dtl",#N/A,FALSE,"Rec Main";"Rec Sched",#N/A,FALSE,"Rec Main";"Rec Static",#N/A,FALSE,"Rec Static";"Corp Dtl",#N/A,FALSE,"Corp - Frcst";"Corp Sched",#N/A,FALSE,"Corp - Frcst";"SW Sched",#N/A,FALSE,"S&amp;W - Frcst";"Office Dtl",#N/A,FALSE,"Office - Frcst";"Office Sched",#N/A,FALSE,"Office - Frcst"}</definedName>
    <definedName name="_not15">{"Schedule",#N/A,FALSE,"Receipt";"Disbursement Actual",#N/A,FALSE,"Disburse";"Disbursement Forecast",#N/A,FALSE,"Disburse"}</definedName>
    <definedName name="_not2">{"Detailed License Receipts",#N/A,FALSE,"F-InstallRec";"Maint Sched",#N/A,FALSE,"F-MainRec";#N/A,#N/A,FALSE,"F-OtherRec";"Other Detail",#N/A,FALSE,"F-OtherRec";"Con Month Rev",#N/A,FALSE,"F-ConSemRec";"Other Sched",#N/A,FALSE,"F-OtherRec";"Consulting Schedules",#N/A,FALSE,"F-ConSemRec";"Schedule",#N/A,FALSE,"A-CorpDisb";"Schedule",#N/A,FALSE,"A-AtwkDisb";#N/A,#N/A,FALSE,"F-CorpDisb";"Schedule",#N/A,FALSE,"F-CorpDisb";"Schedule",#N/A,FALSE,"F-AtwkDisb";"Detailed Assumptions",#N/A,FALSE,"F-CorpDisb";"Detailed Assumptions",#N/A,FALSE,"F-AtwkDisb";"Contract Assumptions",#N/A,FALSE,"Drivers";"Disbursement Drivers",#N/A,FALSE,"Drivers";"Detailed Triggers",#N/A,FALSE,"Triggers";"Quarter",#N/A,FALSE,"Triggers";"Rollout Contracts",#N/A,FALSE,"Triggers"}</definedName>
    <definedName name="_not3">{#N/A,#N/A,TRUE,"Forecast";#N/A,#N/A,TRUE,"ForecastMnthly";#N/A,#N/A,TRUE,"ForecastQtrly";#N/A,#N/A,TRUE,"Actual"}</definedName>
    <definedName name="_not4">{#N/A,#N/A,TRUE,"Top";#N/A,#N/A,TRUE,"Quarter";#N/A,#N/A,TRUE,"Variance"}</definedName>
    <definedName name="_not5">{#N/A,#N/A,FALSE,"Receipt Sums";#N/A,#N/A,FALSE,"Disburse Sums";"Rec Dtl",#N/A,FALSE,"Rec Main";"Rec Sched",#N/A,FALSE,"Rec Main";"Rec Static",#N/A,FALSE,"Rec Static";"Corp Dtl",#N/A,FALSE,"Corp - Frcst";"Corp Sched",#N/A,FALSE,"Corp - Frcst";"SW Sched",#N/A,FALSE,"S&amp;W - Frcst";"Office Dtl",#N/A,FALSE,"Office - Frcst";"Office Sched",#N/A,FALSE,"Office - Frcst"}</definedName>
    <definedName name="_not6">{"Schedule",#N/A,FALSE,"Receipt";"Disbursement Actual",#N/A,FALSE,"Disburse";"Disbursement Forecast",#N/A,FALSE,"Disburse"}</definedName>
    <definedName name="_o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>0</definedName>
    <definedName name="_Order2">0</definedName>
    <definedName name="_P00comps1">'[28]EU Comps'!$DK$326:$FO$489</definedName>
    <definedName name="_P00comps2">'[28]EU Comps'!$FQ$326:$HL$489</definedName>
    <definedName name="_pd123">{"Units A",#N/A,FALSE,"FY95SLS";"Units B",#N/A,FALSE,"FY95SLS"}</definedName>
    <definedName name="_PSM2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_PSM3">{"Pound Sterling",#N/A,TRUE,"PPD";"Pound Sterling",#N/A,TRUE,"Anaquest";"Pound Sterling",#N/A,TRUE,"Delta";"Pound Sterling",#N/A,TRUE,"INO"}</definedName>
    <definedName name="_Regression_Int">1</definedName>
    <definedName localSheetId="0" name="_Regression_Out">'[5]Base mensual'!#REF!</definedName>
    <definedName name="_Regression_Out">'[5]Base mensual'!#REF!</definedName>
    <definedName localSheetId="0" name="_Regression_X">'[5]Base mensual'!#REF!</definedName>
    <definedName name="_Regression_X">'[5]Base mensual'!#REF!</definedName>
    <definedName localSheetId="0" name="_Regression_Y">'[4]Base Anual'!#REF!</definedName>
    <definedName name="_Regression_Y">'[4]Base Anual'!#REF!</definedName>
    <definedName name="_ROrder1">0</definedName>
    <definedName name="_s1">{#N/A,#N/A,TRUE,"Top";#N/A,#N/A,TRUE,"Quarter";#N/A,#N/A,TRUE,"Variance";#N/A,#N/A,TRUE,"Forecast";#N/A,#N/A,TRUE,"ForecastMnthly";#N/A,#N/A,TRUE,"ForecastQtrly";#N/A,#N/A,TRUE,"Actual"}</definedName>
    <definedName name="_s110">{"Detailed License Receipts",#N/A,FALSE,"F-InstallRec";"Maint Sched",#N/A,FALSE,"F-MainRec";#N/A,#N/A,FALSE,"F-OtherRec";"Other Detail",#N/A,FALSE,"F-OtherRec";"Con Month Rev",#N/A,FALSE,"F-ConSemRec";"Other Sched",#N/A,FALSE,"F-OtherRec";"Consulting Schedules",#N/A,FALSE,"F-ConSemRec";"Schedule",#N/A,FALSE,"A-CorpDisb";"Schedule",#N/A,FALSE,"A-AtwkDisb";#N/A,#N/A,FALSE,"F-CorpDisb";"Schedule",#N/A,FALSE,"F-CorpDisb";"Schedule",#N/A,FALSE,"F-AtwkDisb";"Detailed Assumptions",#N/A,FALSE,"F-CorpDisb";"Detailed Assumptions",#N/A,FALSE,"F-AtwkDisb";"Contract Assumptions",#N/A,FALSE,"Drivers";"Disbursement Drivers",#N/A,FALSE,"Drivers";"Detailed Triggers",#N/A,FALSE,"Triggers";"Quarter",#N/A,FALSE,"Triggers";"Rollout Contracts",#N/A,FALSE,"Triggers"}</definedName>
    <definedName name="_s111">{#N/A,#N/A,TRUE,"Forecast";#N/A,#N/A,TRUE,"ForecastMnthly";#N/A,#N/A,TRUE,"ForecastQtrly";#N/A,#N/A,TRUE,"Actual"}</definedName>
    <definedName name="_s113">{#N/A,#N/A,TRUE,"Top";#N/A,#N/A,TRUE,"Quarter";#N/A,#N/A,TRUE,"Variance"}</definedName>
    <definedName name="_s114">{#N/A,#N/A,FALSE,"Receipt Sums";#N/A,#N/A,FALSE,"Disburse Sums";"Rec Dtl",#N/A,FALSE,"Rec Main";"Rec Sched",#N/A,FALSE,"Rec Main";"Rec Static",#N/A,FALSE,"Rec Static";"Corp Dtl",#N/A,FALSE,"Corp - Frcst";"Corp Sched",#N/A,FALSE,"Corp - Frcst";"SW Sched",#N/A,FALSE,"S&amp;W - Frcst";"Office Dtl",#N/A,FALSE,"Office - Frcst";"Office Sched",#N/A,FALSE,"Office - Frcst"}</definedName>
    <definedName name="_s115">{"Schedule",#N/A,FALSE,"Receipt";"Disbursement Actual",#N/A,FALSE,"Disburse";"Disbursement Forecast",#N/A,FALSE,"Disburse"}</definedName>
    <definedName name="_s116">{#N/A,#N/A,FALSE,"Receipt";"Disbursement Forecast",#N/A,FALSE,"Disburse";"Disbursement Actual",#N/A,FALSE,"Disburse";"Rec Detail",#N/A,FALSE,"F-CDIRec";"Rec Sched",#N/A,FALSE,"F-CDIRec";#N/A,#N/A,FALSE,"F-CnsrtRec";"Detailed Assumptions",#N/A,FALSE,"F-CDIDisb";"Schedule",#N/A,FALSE,"F-CDIDisb";"Detailed Assumptions",#N/A,FALSE,"F-CnsrtDisb";"Schedule",#N/A,FALSE,"F-CnsrtDisb";"Detailed Assumptions",#N/A,FALSE,"F-HITDisb";"Schedule",#N/A,FALSE,"F-HITDisb";"Schedule",#N/A,FALSE,"A-CDIDisb";"Schedule",#N/A,FALSE,"A-CnsrtDisb";"Schedule",#N/A,FALSE,"A-HITDisb";#N/A,#N/A,FALSE,"Drivers"}</definedName>
    <definedName name="_s117">{#N/A,#N/A,TRUE,"Top";#N/A,#N/A,TRUE,"Quarter";#N/A,#N/A,TRUE,"Variance";#N/A,#N/A,TRUE,"Forecast";#N/A,#N/A,TRUE,"ForecastMnthly";#N/A,#N/A,TRUE,"ForecastQtrly";#N/A,#N/A,TRUE,"Actual"}</definedName>
    <definedName name="_s118">{#N/A,#N/A,FALSE,"Receipt";"Disbursement Forecast",#N/A,FALSE,"Disburse";"Disbursement Actual",#N/A,FALSE,"Disburse";"Rec Detail",#N/A,FALSE,"F-CDIRec";"Rec Sched",#N/A,FALSE,"F-CDIRec";#N/A,#N/A,FALSE,"F-CnsrtRec";"Detailed Assumptions",#N/A,FALSE,"F-CDIDisb";"Schedule",#N/A,FALSE,"F-CDIDisb";"Detailed Assumptions",#N/A,FALSE,"F-CnsrtDisb";"Schedule",#N/A,FALSE,"F-CnsrtDisb";"Detailed Assumptions",#N/A,FALSE,"F-HITDisb";"Schedule",#N/A,FALSE,"F-HITDisb";"Schedule",#N/A,FALSE,"A-CDIDisb";"Schedule",#N/A,FALSE,"A-CnsrtDisb";"Schedule",#N/A,FALSE,"A-HITDisb";#N/A,#N/A,FALSE,"Drivers"}</definedName>
    <definedName name="_s119">{"Detailed License Receipts",#N/A,FALSE,"F-InstallRec";"Maint Sched",#N/A,FALSE,"F-MainRec";#N/A,#N/A,FALSE,"F-OtherRec";"Other Detail",#N/A,FALSE,"F-OtherRec";"Con Month Rev",#N/A,FALSE,"F-ConSemRec";"Other Sched",#N/A,FALSE,"F-OtherRec";"Consulting Schedules",#N/A,FALSE,"F-ConSemRec";"Schedule",#N/A,FALSE,"A-CorpDisb";"Schedule",#N/A,FALSE,"A-AtwkDisb";#N/A,#N/A,FALSE,"F-CorpDisb";"Schedule",#N/A,FALSE,"F-CorpDisb";"Schedule",#N/A,FALSE,"F-AtwkDisb";"Detailed Assumptions",#N/A,FALSE,"F-CorpDisb";"Detailed Assumptions",#N/A,FALSE,"F-AtwkDisb";"Contract Assumptions",#N/A,FALSE,"Drivers";"Disbursement Drivers",#N/A,FALSE,"Drivers";"Detailed Triggers",#N/A,FALSE,"Triggers";"Quarter",#N/A,FALSE,"Triggers";"Rollout Contracts",#N/A,FALSE,"Triggers"}</definedName>
    <definedName name="_s12">{#N/A,#N/A,FALSE,"Receipt";"Disbursement Forecast",#N/A,FALSE,"Disburse";"Disbursement Actual",#N/A,FALSE,"Disburse";"Rec Detail",#N/A,FALSE,"F-CDIRec";"Rec Sched",#N/A,FALSE,"F-CDIRec";#N/A,#N/A,FALSE,"F-CnsrtRec";"Detailed Assumptions",#N/A,FALSE,"F-CDIDisb";"Schedule",#N/A,FALSE,"F-CDIDisb";"Detailed Assumptions",#N/A,FALSE,"F-CnsrtDisb";"Schedule",#N/A,FALSE,"F-CnsrtDisb";"Detailed Assumptions",#N/A,FALSE,"F-HITDisb";"Schedule",#N/A,FALSE,"F-HITDisb";"Schedule",#N/A,FALSE,"A-CDIDisb";"Schedule",#N/A,FALSE,"A-CnsrtDisb";"Schedule",#N/A,FALSE,"A-HITDisb";#N/A,#N/A,FALSE,"Drivers"}</definedName>
    <definedName name="_s120">{#N/A,#N/A,TRUE,"Forecast";#N/A,#N/A,TRUE,"ForecastMnthly";#N/A,#N/A,TRUE,"ForecastQtrly";#N/A,#N/A,TRUE,"Actual"}</definedName>
    <definedName name="_s121">{#N/A,#N/A,TRUE,"Top";#N/A,#N/A,TRUE,"Quarter";#N/A,#N/A,TRUE,"Variance"}</definedName>
    <definedName name="_s122">{#N/A,#N/A,FALSE,"Receipt Sums";#N/A,#N/A,FALSE,"Disburse Sums";"Rec Dtl",#N/A,FALSE,"Rec Main";"Rec Sched",#N/A,FALSE,"Rec Main";"Rec Static",#N/A,FALSE,"Rec Static";"Corp Dtl",#N/A,FALSE,"Corp - Frcst";"Corp Sched",#N/A,FALSE,"Corp - Frcst";"SW Sched",#N/A,FALSE,"S&amp;W - Frcst";"Office Dtl",#N/A,FALSE,"Office - Frcst";"Office Sched",#N/A,FALSE,"Office - Frcst"}</definedName>
    <definedName name="_s123">{"Schedule",#N/A,FALSE,"Receipt";"Disbursement Actual",#N/A,FALSE,"Disburse";"Disbursement Forecast",#N/A,FALSE,"Disburse"}</definedName>
    <definedName name="_s124">{#N/A,#N/A,FALSE,"Receipt";"Disbursement Forecast",#N/A,FALSE,"Disburse";"Disbursement Actual",#N/A,FALSE,"Disburse";"Rec Detail",#N/A,FALSE,"F-CDIRec";"Rec Sched",#N/A,FALSE,"F-CDIRec";#N/A,#N/A,FALSE,"F-CnsrtRec";"Detailed Assumptions",#N/A,FALSE,"F-CDIDisb";"Schedule",#N/A,FALSE,"F-CDIDisb";"Detailed Assumptions",#N/A,FALSE,"F-CnsrtDisb";"Schedule",#N/A,FALSE,"F-CnsrtDisb";"Detailed Assumptions",#N/A,FALSE,"F-HITDisb";"Schedule",#N/A,FALSE,"F-HITDisb";"Schedule",#N/A,FALSE,"A-CDIDisb";"Schedule",#N/A,FALSE,"A-CnsrtDisb";"Schedule",#N/A,FALSE,"A-HITDisb";#N/A,#N/A,FALSE,"Drivers"}</definedName>
    <definedName name="_s125">{"Detailed License Receipts",#N/A,FALSE,"F-InstallRec";"Maint Sched",#N/A,FALSE,"F-MainRec";#N/A,#N/A,FALSE,"F-OtherRec";"Other Detail",#N/A,FALSE,"F-OtherRec";"Con Month Rev",#N/A,FALSE,"F-ConSemRec";"Other Sched",#N/A,FALSE,"F-OtherRec";"Consulting Schedules",#N/A,FALSE,"F-ConSemRec";"Schedule",#N/A,FALSE,"A-CorpDisb";"Schedule",#N/A,FALSE,"A-AtwkDisb";#N/A,#N/A,FALSE,"F-CorpDisb";"Schedule",#N/A,FALSE,"F-CorpDisb";"Schedule",#N/A,FALSE,"F-AtwkDisb";"Detailed Assumptions",#N/A,FALSE,"F-CorpDisb";"Detailed Assumptions",#N/A,FALSE,"F-AtwkDisb";"Contract Assumptions",#N/A,FALSE,"Drivers";"Disbursement Drivers",#N/A,FALSE,"Drivers";"Detailed Triggers",#N/A,FALSE,"Triggers";"Quarter",#N/A,FALSE,"Triggers";"Rollout Contracts",#N/A,FALSE,"Triggers"}</definedName>
    <definedName name="_s126">{#N/A,#N/A,TRUE,"Forecast";#N/A,#N/A,TRUE,"ForecastMnthly";#N/A,#N/A,TRUE,"ForecastQtrly";#N/A,#N/A,TRUE,"Actual"}</definedName>
    <definedName name="_s127">{#N/A,#N/A,TRUE,"Top";#N/A,#N/A,TRUE,"Quarter";#N/A,#N/A,TRUE,"Variance"}</definedName>
    <definedName name="_s128">{#N/A,#N/A,FALSE,"Receipt Sums";#N/A,#N/A,FALSE,"Disburse Sums";"Rec Dtl",#N/A,FALSE,"Rec Main";"Rec Sched",#N/A,FALSE,"Rec Main";"Rec Static",#N/A,FALSE,"Rec Static";"Corp Dtl",#N/A,FALSE,"Corp - Frcst";"Corp Sched",#N/A,FALSE,"Corp - Frcst";"SW Sched",#N/A,FALSE,"S&amp;W - Frcst";"Office Dtl",#N/A,FALSE,"Office - Frcst";"Office Sched",#N/A,FALSE,"Office - Frcst"}</definedName>
    <definedName name="_s129">{"Schedule",#N/A,FALSE,"Receipt";"Disbursement Actual",#N/A,FALSE,"Disburse";"Disbursement Forecast",#N/A,FALSE,"Disburse"}</definedName>
    <definedName name="_s13">{#N/A,#N/A,TRUE,"Top";#N/A,#N/A,TRUE,"Quarter";#N/A,#N/A,TRUE,"Variance";#N/A,#N/A,TRUE,"Forecast";#N/A,#N/A,TRUE,"ForecastMnthly";#N/A,#N/A,TRUE,"ForecastQtrly";#N/A,#N/A,TRUE,"Actual"}</definedName>
    <definedName name="_s130">{#N/A,#N/A,FALSE,"Receipt";"Disbursement Forecast",#N/A,FALSE,"Disburse";"Disbursement Actual",#N/A,FALSE,"Disburse";"Rec Detail",#N/A,FALSE,"F-CDIRec";"Rec Sched",#N/A,FALSE,"F-CDIRec";#N/A,#N/A,FALSE,"F-CnsrtRec";"Detailed Assumptions",#N/A,FALSE,"F-CDIDisb";"Schedule",#N/A,FALSE,"F-CDIDisb";"Detailed Assumptions",#N/A,FALSE,"F-CnsrtDisb";"Schedule",#N/A,FALSE,"F-CnsrtDisb";"Detailed Assumptions",#N/A,FALSE,"F-HITDisb";"Schedule",#N/A,FALSE,"F-HITDisb";"Schedule",#N/A,FALSE,"A-CDIDisb";"Schedule",#N/A,FALSE,"A-CnsrtDisb";"Schedule",#N/A,FALSE,"A-HITDisb";#N/A,#N/A,FALSE,"Drivers"}</definedName>
    <definedName name="_s131">{#N/A,#N/A,TRUE,"Top";#N/A,#N/A,TRUE,"Quarter";#N/A,#N/A,TRUE,"Variance";#N/A,#N/A,TRUE,"Forecast";#N/A,#N/A,TRUE,"ForecastMnthly";#N/A,#N/A,TRUE,"ForecastQtrly";#N/A,#N/A,TRUE,"Actual"}</definedName>
    <definedName name="_s132">{"Detailed License Receipts",#N/A,FALSE,"F-InstallRec";"Maint Sched",#N/A,FALSE,"F-MainRec";#N/A,#N/A,FALSE,"F-OtherRec";"Other Detail",#N/A,FALSE,"F-OtherRec";"Con Month Rev",#N/A,FALSE,"F-ConSemRec";"Other Sched",#N/A,FALSE,"F-OtherRec";"Consulting Schedules",#N/A,FALSE,"F-ConSemRec";"Schedule",#N/A,FALSE,"A-CorpDisb";"Schedule",#N/A,FALSE,"A-AtwkDisb";#N/A,#N/A,FALSE,"F-CorpDisb";"Schedule",#N/A,FALSE,"F-CorpDisb";"Schedule",#N/A,FALSE,"F-AtwkDisb";"Detailed Assumptions",#N/A,FALSE,"F-CorpDisb";"Detailed Assumptions",#N/A,FALSE,"F-AtwkDisb";"Contract Assumptions",#N/A,FALSE,"Drivers";"Disbursement Drivers",#N/A,FALSE,"Drivers";"Detailed Triggers",#N/A,FALSE,"Triggers";"Quarter",#N/A,FALSE,"Triggers";"Rollout Contracts",#N/A,FALSE,"Triggers"}</definedName>
    <definedName name="_s133">{#N/A,#N/A,TRUE,"Forecast";#N/A,#N/A,TRUE,"ForecastMnthly";#N/A,#N/A,TRUE,"ForecastQtrly";#N/A,#N/A,TRUE,"Actual"}</definedName>
    <definedName name="_s134">{#N/A,#N/A,TRUE,"Top";#N/A,#N/A,TRUE,"Quarter";#N/A,#N/A,TRUE,"Variance"}</definedName>
    <definedName name="_s135">{#N/A,#N/A,FALSE,"Receipt Sums";#N/A,#N/A,FALSE,"Disburse Sums";"Rec Dtl",#N/A,FALSE,"Rec Main";"Rec Sched",#N/A,FALSE,"Rec Main";"Rec Static",#N/A,FALSE,"Rec Static";"Corp Dtl",#N/A,FALSE,"Corp - Frcst";"Corp Sched",#N/A,FALSE,"Corp - Frcst";"SW Sched",#N/A,FALSE,"S&amp;W - Frcst";"Office Dtl",#N/A,FALSE,"Office - Frcst";"Office Sched",#N/A,FALSE,"Office - Frcst"}</definedName>
    <definedName name="_s136">{"Schedule",#N/A,FALSE,"Receipt";"Disbursement Actual",#N/A,FALSE,"Disburse";"Disbursement Forecast",#N/A,FALSE,"Disburse"}</definedName>
    <definedName name="_s137">{#N/A,#N/A,FALSE,"Receipt";"Disbursement Forecast",#N/A,FALSE,"Disburse";"Disbursement Actual",#N/A,FALSE,"Disburse";"Rec Detail",#N/A,FALSE,"F-CDIRec";"Rec Sched",#N/A,FALSE,"F-CDIRec";#N/A,#N/A,FALSE,"F-CnsrtRec";"Detailed Assumptions",#N/A,FALSE,"F-CDIDisb";"Schedule",#N/A,FALSE,"F-CDIDisb";"Detailed Assumptions",#N/A,FALSE,"F-CnsrtDisb";"Schedule",#N/A,FALSE,"F-CnsrtDisb";"Detailed Assumptions",#N/A,FALSE,"F-HITDisb";"Schedule",#N/A,FALSE,"F-HITDisb";"Schedule",#N/A,FALSE,"A-CDIDisb";"Schedule",#N/A,FALSE,"A-CnsrtDisb";"Schedule",#N/A,FALSE,"A-HITDisb";#N/A,#N/A,FALSE,"Drivers"}</definedName>
    <definedName name="_s138">{#N/A,#N/A,TRUE,"Top";#N/A,#N/A,TRUE,"Quarter";#N/A,#N/A,TRUE,"Variance";#N/A,#N/A,TRUE,"Forecast";#N/A,#N/A,TRUE,"ForecastMnthly";#N/A,#N/A,TRUE,"ForecastQtrly";#N/A,#N/A,TRUE,"Actual"}</definedName>
    <definedName name="_s139">{"Detailed License Receipts",#N/A,FALSE,"F-InstallRec";"Maint Sched",#N/A,FALSE,"F-MainRec";#N/A,#N/A,FALSE,"F-OtherRec";"Other Detail",#N/A,FALSE,"F-OtherRec";"Con Month Rev",#N/A,FALSE,"F-ConSemRec";"Other Sched",#N/A,FALSE,"F-OtherRec";"Consulting Schedules",#N/A,FALSE,"F-ConSemRec";"Schedule",#N/A,FALSE,"A-CorpDisb";"Schedule",#N/A,FALSE,"A-AtwkDisb";#N/A,#N/A,FALSE,"F-CorpDisb";"Schedule",#N/A,FALSE,"F-CorpDisb";"Schedule",#N/A,FALSE,"F-AtwkDisb";"Detailed Assumptions",#N/A,FALSE,"F-CorpDisb";"Detailed Assumptions",#N/A,FALSE,"F-AtwkDisb";"Contract Assumptions",#N/A,FALSE,"Drivers";"Disbursement Drivers",#N/A,FALSE,"Drivers";"Detailed Triggers",#N/A,FALSE,"Triggers";"Quarter",#N/A,FALSE,"Triggers";"Rollout Contracts",#N/A,FALSE,"Triggers"}</definedName>
    <definedName name="_s14">{#N/A,#N/A,TRUE,"Top";#N/A,#N/A,TRUE,"Quarter";#N/A,#N/A,TRUE,"Variance";#N/A,#N/A,TRUE,"Forecast";#N/A,#N/A,TRUE,"ForecastMnthly";#N/A,#N/A,TRUE,"ForecastQtrly";#N/A,#N/A,TRUE,"Actual"}</definedName>
    <definedName name="_s140">{#N/A,#N/A,TRUE,"Forecast";#N/A,#N/A,TRUE,"ForecastMnthly";#N/A,#N/A,TRUE,"ForecastQtrly";#N/A,#N/A,TRUE,"Actual"}</definedName>
    <definedName name="_s144">{#N/A,#N/A,TRUE,"Top";#N/A,#N/A,TRUE,"Quarter";#N/A,#N/A,TRUE,"Variance"}</definedName>
    <definedName name="_s145">{#N/A,#N/A,FALSE,"Receipt Sums";#N/A,#N/A,FALSE,"Disburse Sums";"Rec Dtl",#N/A,FALSE,"Rec Main";"Rec Sched",#N/A,FALSE,"Rec Main";"Rec Static",#N/A,FALSE,"Rec Static";"Corp Dtl",#N/A,FALSE,"Corp - Frcst";"Corp Sched",#N/A,FALSE,"Corp - Frcst";"SW Sched",#N/A,FALSE,"S&amp;W - Frcst";"Office Dtl",#N/A,FALSE,"Office - Frcst";"Office Sched",#N/A,FALSE,"Office - Frcst"}</definedName>
    <definedName name="_s146">{"Schedule",#N/A,FALSE,"Receipt";"Disbursement Actual",#N/A,FALSE,"Disburse";"Disbursement Forecast",#N/A,FALSE,"Disburse"}</definedName>
    <definedName name="_s15">{"Detailed License Receipts",#N/A,FALSE,"F-InstallRec";"Maint Sched",#N/A,FALSE,"F-MainRec";#N/A,#N/A,FALSE,"F-OtherRec";"Other Detail",#N/A,FALSE,"F-OtherRec";"Con Month Rev",#N/A,FALSE,"F-ConSemRec";"Other Sched",#N/A,FALSE,"F-OtherRec";"Consulting Schedules",#N/A,FALSE,"F-ConSemRec";"Schedule",#N/A,FALSE,"A-CorpDisb";"Schedule",#N/A,FALSE,"A-AtwkDisb";#N/A,#N/A,FALSE,"F-CorpDisb";"Schedule",#N/A,FALSE,"F-CorpDisb";"Schedule",#N/A,FALSE,"F-AtwkDisb";"Detailed Assumptions",#N/A,FALSE,"F-CorpDisb";"Detailed Assumptions",#N/A,FALSE,"F-AtwkDisb";"Contract Assumptions",#N/A,FALSE,"Drivers";"Disbursement Drivers",#N/A,FALSE,"Drivers";"Detailed Triggers",#N/A,FALSE,"Triggers";"Quarter",#N/A,FALSE,"Triggers";"Rollout Contracts",#N/A,FALSE,"Triggers"}</definedName>
    <definedName name="_s16">{#N/A,#N/A,TRUE,"Forecast";#N/A,#N/A,TRUE,"ForecastMnthly";#N/A,#N/A,TRUE,"ForecastQtrly";#N/A,#N/A,TRUE,"Actual"}</definedName>
    <definedName name="_s178">{#N/A,#N/A,TRUE,"Top";#N/A,#N/A,TRUE,"Quarter";#N/A,#N/A,TRUE,"Variance"}</definedName>
    <definedName name="_s18">{#N/A,#N/A,FALSE,"Receipt Sums";#N/A,#N/A,FALSE,"Disburse Sums";"Rec Dtl",#N/A,FALSE,"Rec Main";"Rec Sched",#N/A,FALSE,"Rec Main";"Rec Static",#N/A,FALSE,"Rec Static";"Corp Dtl",#N/A,FALSE,"Corp - Frcst";"Corp Sched",#N/A,FALSE,"Corp - Frcst";"SW Sched",#N/A,FALSE,"S&amp;W - Frcst";"Office Dtl",#N/A,FALSE,"Office - Frcst";"Office Sched",#N/A,FALSE,"Office - Frcst"}</definedName>
    <definedName name="_s19">{"Schedule",#N/A,FALSE,"Receipt";"Disbursement Actual",#N/A,FALSE,"Disburse";"Disbursement Forecast",#N/A,FALSE,"Disburse"}</definedName>
    <definedName localSheetId="0" name="_Sort">'[26]OTHFA-1'!#REF!</definedName>
    <definedName name="_Sort">'[26]OTHFA-1'!#REF!</definedName>
    <definedName name="_Sp3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localSheetId="0" name="_Table1_In1">'[29]Optimal WACC 1'!#REF!</definedName>
    <definedName name="_Table1_In1">'[29]Optimal WACC 1'!#REF!</definedName>
    <definedName localSheetId="0" name="_Table1_Out">'[29]Optimal WACC 1'!#REF!</definedName>
    <definedName name="_Table1_Out">'[29]Optimal WACC 1'!#REF!</definedName>
    <definedName name="_TMAutoChart1Names">{"Timeline","Chart 6","Timeline Chart 6"}</definedName>
    <definedName name="_TMAutoChart1Refs">{"","","'Timeline'!$F$16","'Timeline'!$F$25","","","","","",""}</definedName>
    <definedName name="_TMAutoChart2Names">{"Timeline","Chart 6","Timeline Chart 6"}</definedName>
    <definedName name="_TMAutoChart2Refs">{"","","'Timeline'!$F$16","'Timeline'!$H$25","","","","","",""}</definedName>
    <definedName name="_TMAutoChartCount">2</definedName>
    <definedName name="_TO11">{#N/A,#N/A,FALSE,"Chi tiÆt"}</definedName>
    <definedName name="_wr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n2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wrn3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wrn4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wrn6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z2">{"Sch00",#N/A,FALSE,"1";"Contents",#N/A,FALSE,"1"}</definedName>
    <definedName name="_z3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comps2">{0,0,0,0,1,-4105,28.3464566929134,28.3464566929134,28.346456664,28.3464566929134,2,TRUE,TRUE,FALSE,FALSE,FALSE,#N/A,1,85,1,2,"","","","&amp;""Kennerly,Roman Bold""&amp;14L&amp;12EHMAN &amp;14 B&amp;12ROTHERS","","",FALSE}</definedName>
    <definedName name="_zz3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aaa">{#N/A,#N/A,FALSE,"ACQ_GRAPHS";#N/A,#N/A,FALSE,"T_1 GRAPHS";#N/A,#N/A,FALSE,"T_2 GRAPHS";#N/A,#N/A,FALSE,"COMB_GRAPHS"}</definedName>
    <definedName name="AAA_DOCTOPS">"AAA_SET"</definedName>
    <definedName name="AAA_duser">"OFF"</definedName>
    <definedName name="aaa0_1">{#N/A,#N/A,FALSE,"Aging Summary";#N/A,#N/A,FALSE,"Ratio Analysis";#N/A,#N/A,FALSE,"Test 120 Day Accts";#N/A,#N/A,FALSE,"Tickmarks"}</definedName>
    <definedName name="aaa0_2">{#N/A,#N/A,FALSE,"Aging Summary";#N/A,#N/A,FALSE,"Ratio Analysis";#N/A,#N/A,FALSE,"Test 120 Day Accts";#N/A,#N/A,FALSE,"Tickmarks"}</definedName>
    <definedName name="aaa0_3">{#N/A,#N/A,FALSE,"Aging Summary";#N/A,#N/A,FALSE,"Ratio Analysis";#N/A,#N/A,FALSE,"Test 120 Day Accts";#N/A,#N/A,FALSE,"Tickmarks"}</definedName>
    <definedName name="aaa0_4">{#N/A,#N/A,FALSE,"Aging Summary";#N/A,#N/A,FALSE,"Ratio Analysis";#N/A,#N/A,FALSE,"Test 120 Day Accts";#N/A,#N/A,FALSE,"Tickmarks"}</definedName>
    <definedName name="aaa0_5">{#N/A,#N/A,FALSE,"Aging Summary";#N/A,#N/A,FALSE,"Ratio Analysis";#N/A,#N/A,FALSE,"Test 120 Day Accts";#N/A,#N/A,FALSE,"Tickmarks"}</definedName>
    <definedName name="AAAA">{"ten year ratios",#N/A,TRUE,"PROFIT_LOSS";"ten year ratios",#N/A,TRUE,"Ratios";"ten yr opex and capex",#N/A,TRUE,"1996 budget";"ten year revenues",#N/A,TRUE,"Revenue_1996-2004";"ten year payroll",#N/A,TRUE,"Payroll"}</definedName>
    <definedName name="aaaa.a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aaaaa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a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localSheetId="0" name="aaaaaaaaaaa">'[30]Adj Sales'!#REF!</definedName>
    <definedName name="aaaaaaaaaaa">'[30]Adj Sales'!#REF!</definedName>
    <definedName name="AAB_Addin5">"AAB_Description for addin 5,Description for addin 5,Description for addin 5,Description for addin 5,Description for addin 5,Description for addin 5"</definedName>
    <definedName name="AAB_GSPPG">"AAB_Goldman Sachs PPG Chart Utilities 1.0g"</definedName>
    <definedName name="aasd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abc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bcde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sorp">{#N/A,#N/A,FALSE,"AHF"}</definedName>
    <definedName name="ac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AccessDatabase">"C:\My Documents\DAVE\MODELS\Cash at Risk\Loan Front End.mdb"</definedName>
    <definedName name="ACHART_82">{#VALUE!,#N/A,FALSE,0;#N/A,#N/A,FALSE,0;#N/A,#N/A,FALSE,0;#N/A,#N/A,FALSE,0}</definedName>
    <definedName name="ACHART_82_1">{#VALUE!,#N/A,FALSE,0;#N/A,#N/A,FALSE,0;#N/A,#N/A,FALSE,0;#N/A,#N/A,FALSE,0}</definedName>
    <definedName name="ACHART_82_2">{#VALUE!,#N/A,FALSE,0;#N/A,#N/A,FALSE,0;#N/A,#N/A,FALSE,0;#N/A,#N/A,FALSE,0}</definedName>
    <definedName name="ACHART_82_3">{#VALUE!,#N/A,FALSE,0;#N/A,#N/A,FALSE,0;#N/A,#N/A,FALSE,0;#N/A,#N/A,FALSE,0}</definedName>
    <definedName name="ACHART_82_4">{#VALUE!,#N/A,FALSE,0;#N/A,#N/A,FALSE,0;#N/A,#N/A,FALSE,0;#N/A,#N/A,FALSE,0}</definedName>
    <definedName name="ACHART_82_5">{#VALUE!,#N/A,FALSE,0;#N/A,#N/A,FALSE,0;#N/A,#N/A,FALSE,0;#N/A,#N/A,FALSE,0}</definedName>
    <definedName localSheetId="0" name="ACwvu.inputs._.raw._.data.">[31]Input!#REF!</definedName>
    <definedName name="ACwvu.inputs._.raw._.data.">[31]Input!#REF!</definedName>
    <definedName name="ACwvu.summary1.">[32]Comps!$A$1:$AA$49</definedName>
    <definedName name="ACwvu.summary2.">[32]Comps!$A$147:$AA$192</definedName>
    <definedName name="ACwvu.summary3.">[32]Comps!$A$103:$AA$146</definedName>
    <definedName name="adfa">{"histincome",#N/A,FALSE,"hyfins";"closing balance",#N/A,FALSE,"hyfins"}</definedName>
    <definedName name="adfads">{"histincome",#N/A,FALSE,"hyfins";"closing balance",#N/A,FALSE,"hyfins"}</definedName>
    <definedName name="adfafadf">{#N/A,#N/A,FALSE,"Brad_DCFM";#N/A,#N/A,FALSE,"Nick_DCFM";#N/A,#N/A,FALSE,"Mobile_DCFM"}</definedName>
    <definedName name="adfas">{#N/A,#N/A,FALSE,"Brad_DCFM";#N/A,#N/A,FALSE,"Nick_DCFM";#N/A,#N/A,FALSE,"Mobile_DCFM"}</definedName>
    <definedName name="adfasd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adfasf">{"histincome",#N/A,FALSE,"hyfins";"closing balance",#N/A,FALSE,"hyfins"}</definedName>
    <definedName name="adfg">{"Units A",#N/A,FALSE,"FY95SLS";"Units B",#N/A,FALSE,"FY95SLS"}</definedName>
    <definedName name="adfgadfb">{"Units A",#N/A,FALSE,"FY95SLS";"Units B",#N/A,FALSE,"FY95SLS"}</definedName>
    <definedName name="adfgaer">{"Units A",#N/A,FALSE,"FY95SLS";"Units B",#N/A,FALSE,"FY95SLS"}</definedName>
    <definedName name="adfnhdfah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adfsdf">{"Units A",#N/A,FALSE,"FY95SLS";"Units B",#N/A,FALSE,"FY95SLS"}</definedName>
    <definedName name="adnfadfnhf">{"Units A",#N/A,FALSE,"FY95SLS";"Units B",#N/A,FALSE,"FY95SLS"}</definedName>
    <definedName name="Adriaan10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0_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0_2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0_3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0_4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0_5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driaan11">{"Totax",#N/A,FALSE,"Sheet1";#N/A,#N/A,FALSE,"Law Output"}</definedName>
    <definedName name="Adriaan11_1">{"Totax",#N/A,FALSE,"Sheet1";#N/A,#N/A,FALSE,"Law Output"}</definedName>
    <definedName name="Adriaan11_2">{"Totax",#N/A,FALSE,"Sheet1";#N/A,#N/A,FALSE,"Law Output"}</definedName>
    <definedName name="Adriaan11_3">{"Totax",#N/A,FALSE,"Sheet1";#N/A,#N/A,FALSE,"Law Output"}</definedName>
    <definedName name="Adriaan11_4">{"Totax",#N/A,FALSE,"Sheet1";#N/A,#N/A,FALSE,"Law Output"}</definedName>
    <definedName name="Adriaan11_5">{"Totax",#N/A,FALSE,"Sheet1";#N/A,#N/A,FALSE,"Law Output"}</definedName>
    <definedName name="Adriaan9">{"Totax",#N/A,FALSE,"Sheet1";#N/A,#N/A,FALSE,"Law Output"}</definedName>
    <definedName name="Adriaan9_1">{"Totax",#N/A,FALSE,"Sheet1";#N/A,#N/A,FALSE,"Law Output"}</definedName>
    <definedName name="Adriaan9_2">{"Totax",#N/A,FALSE,"Sheet1";#N/A,#N/A,FALSE,"Law Output"}</definedName>
    <definedName name="Adriaan9_3">{"Totax",#N/A,FALSE,"Sheet1";#N/A,#N/A,FALSE,"Law Output"}</definedName>
    <definedName name="Adriaan9_4">{"Totax",#N/A,FALSE,"Sheet1";#N/A,#N/A,FALSE,"Law Output"}</definedName>
    <definedName name="Adriaan9_5">{"Totax",#N/A,FALSE,"Sheet1";#N/A,#N/A,FALSE,"Law Output"}</definedName>
    <definedName name="adsa">{"Units A",#N/A,FALSE,"FY95SLS";"Units B",#N/A,FALSE,"FY95SLS"}</definedName>
    <definedName name="adsadas">{"Pound Sterling",#N/A,TRUE,"PPD";"Pound Sterling",#N/A,TRUE,"Anaquest";"Pound Sterling",#N/A,TRUE,"Delta";"Pound Sterling",#N/A,TRUE,"INO"}</definedName>
    <definedName name="adsf">{"histincome",#N/A,FALSE,"hyfins";"closing balance",#N/A,FALSE,"hyfins"}</definedName>
    <definedName name="adsfasd">{"histincome",#N/A,FALSE,"hyfins";"closing balance",#N/A,FALSE,"hyfins"}</definedName>
    <definedName name="adsfdas">{#N/A,#N/A,FALSE,"Summary";#N/A,#N/A,FALSE,"Nottingham";#N/A,#N/A,FALSE,"Cablelink";#N/A,#N/A,FALSE,"Triangle Total";#N/A,#N/A,FALSE,"Triangle LLC";#N/A,#N/A,FALSE,"Teeside";#N/A,#N/A,FALSE,"Cambridge";#N/A,#N/A,FALSE,"Bank Group";#N/A,#N/A,FALSE,"ntl (UK) Group";#N/A,#N/A,FALSE,"ntl Business Ltd";#N/A,#N/A,FALSE,"Consumer Co";#N/A,#N/A,FALSE,"Scanners";#N/A,#N/A,FALSE,"Xtant inc Moleseye";#N/A,#N/A,FALSE,"Bank Facilities";#N/A,#N/A,FALSE,"Parent Funding"}</definedName>
    <definedName name="ae">{"charmin",#N/A,FALSE,"FMAM II"}</definedName>
    <definedName name="AEFDVFDSVDSFV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aefe">{"Pound Sterling",#N/A,TRUE,"PPD";"Pound Sterling",#N/A,TRUE,"Anaquest";"Pound Sterling",#N/A,TRUE,"Delta";"Pound Sterling",#N/A,TRUE,"INO"}</definedName>
    <definedName name="aegseg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aem">{#N/A,#N/A,TRUE,"AHFSTEP"}</definedName>
    <definedName name="aerhh">{"Units A",#N/A,FALSE,"FY95SLS";"Units B",#N/A,FALSE,"FY95SLS"}</definedName>
    <definedName name="aerqeyqery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aertareygq">{"Pound Sterling",#N/A,TRUE,"PPD";"Pound Sterling",#N/A,TRUE,"Anaquest";"Pound Sterling",#N/A,TRUE,"Delta";"Pound Sterling",#N/A,TRUE,"INO"}</definedName>
    <definedName name="afa">{"Final",#N/A,FALSE,"Feb-96"}</definedName>
    <definedName name="afasd">{"Final",#N/A,FALSE,"Feb-96"}</definedName>
    <definedName name="afasdfasd">{"'Directory'!$A$72:$E$91"}</definedName>
    <definedName name="afgagagadg">{"Final",#N/A,FALSE,"Feb-96"}</definedName>
    <definedName name="AFGH">{#N/A,#N/A,FALSE,"SUMMARY"}</definedName>
    <definedName name="afsd">{"'Directory'!$A$72:$E$91"}</definedName>
    <definedName name="agaerger">{"Pound Sterling",#N/A,TRUE,"PPD";"Pound Sterling",#N/A,TRUE,"Anaquest";"Pound Sterling",#N/A,TRUE,"Delta";"Pound Sterling",#N/A,TRUE,"INO"}</definedName>
    <definedName name="agdgh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Agenda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agfsdg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agseg">{"Units A",#N/A,FALSE,"FY95SLS";"Units B",#N/A,FALSE,"FY95SLS"}</definedName>
    <definedName name="Agust">{#N/A,#N/A,FALSE,"0895";"LOWER PORTION",#N/A,FALSE,"0895"}</definedName>
    <definedName name="Agust_1">{#N/A,#N/A,FALSE,"0895";"LOWER PORTION",#N/A,FALSE,"0895"}</definedName>
    <definedName name="Agust_2">{#N/A,#N/A,FALSE,"0895";"LOWER PORTION",#N/A,FALSE,"0895"}</definedName>
    <definedName name="Agust_3">{#N/A,#N/A,FALSE,"0895";"LOWER PORTION",#N/A,FALSE,"0895"}</definedName>
    <definedName name="Agust_4">{#N/A,#N/A,FALSE,"0895";"LOWER PORTION",#N/A,FALSE,"0895"}</definedName>
    <definedName name="Agust_5">{#N/A,#N/A,FALSE,"0895";"LOWER PORTION",#N/A,FALSE,"0895"}</definedName>
    <definedName name="ah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ahfhasdgr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ahre">{"Pound Sterling",#N/A,TRUE,"PPD";"Pound Sterling",#N/A,TRUE,"Anaquest";"Pound Sterling",#N/A,TRUE,"Delta";"Pound Sterling",#N/A,TRUE,"INO"}</definedName>
    <definedName name="ahrh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ajustes">{#N/A,#N/A,FALSE,"INPUTS";#N/A,#N/A,FALSE,"PROFORMA BSHEET";#N/A,#N/A,FALSE,"COMBINED";#N/A,#N/A,FALSE,"ACQUIROR";#N/A,#N/A,FALSE,"TARGET 1";#N/A,#N/A,FALSE,"TARGET 2";#N/A,#N/A,FALSE,"HIGH YIELD";#N/A,#N/A,FALSE,"OVERFUND"}</definedName>
    <definedName name="Alignment">"a1"</definedName>
    <definedName name="All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anise">{"charmin",#N/A,FALSE,"FMAM II"}</definedName>
    <definedName name="anise2">{"charmin",#N/A,FALSE,"FMAM II"}</definedName>
    <definedName name="anisev">{"charmin",#N/A,FALSE,"FMAM II"}</definedName>
    <definedName name="anisey">{"charmin",#N/A,FALSE,"FMAM II"}</definedName>
    <definedName name="anscount">1</definedName>
    <definedName name="anything">{#N/A,#N/A,FALSE,"Output";#N/A,#N/A,FALSE,"Cover Sheet";#N/A,#N/A,FALSE,"Current Mkt. Projections"}</definedName>
    <definedName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rl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arwegvfr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as">{"SchL1",#N/A,FALSE,"Schedules";"SchL2",#N/A,FALSE,"Schedules"}</definedName>
    <definedName name="AS2DocOpenMode">"AS2DocumentEdit"</definedName>
    <definedName name="AS2HasNoAutoHeaderFooter">" "</definedName>
    <definedName name="AS2NamedRange">12</definedName>
    <definedName name="AS2ReportLS">1</definedName>
    <definedName name="AS2SyncStepLS">0</definedName>
    <definedName name="AS2VersionLS">300</definedName>
    <definedName name="asd">{"SchF1",#N/A,FALSE,"Schedules";"SchF2",#N/A,FALSE,"Schedules"}</definedName>
    <definedName name="asd_s.mcscmlcscñcl">{#N/A,#N/A,FALSE,"INPUTS";#N/A,#N/A,FALSE,"PROFORMA BSHEET";#N/A,#N/A,FALSE,"COMBINED";#N/A,#N/A,FALSE,"ACQUIROR";#N/A,#N/A,FALSE,"TARGET 1";#N/A,#N/A,FALSE,"TARGET 2";#N/A,#N/A,FALSE,"HIGH YIELD";#N/A,#N/A,FALSE,"OVERFUND"}</definedName>
    <definedName name="asda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asdas">{"Final",#N/A,FALSE,"Feb-96"}</definedName>
    <definedName name="asdasd">{"Units A",#N/A,FALSE,"FY95SLS";"Units B",#N/A,FALSE,"FY95SLS"}</definedName>
    <definedName name="asdasdas">{"Pound Sterling",#N/A,TRUE,"PPD";"Pound Sterling",#N/A,TRUE,"Anaquest";"Pound Sterling",#N/A,TRUE,"Delta";"Pound Sterling",#N/A,TRUE,"INO"}</definedName>
    <definedName name="asdasdf">{"'Directory'!$A$72:$E$91"}</definedName>
    <definedName name="asdasdfasdg">{"Final",#N/A,FALSE,"Feb-96"}</definedName>
    <definedName name="asdasdfy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asdasdg">{"histincome",#N/A,FALSE,"hyfins";"closing balance",#N/A,FALSE,"hyfins"}</definedName>
    <definedName name="asdasdgdf">{"Pound Sterling",#N/A,TRUE,"PPD";"Pound Sterling",#N/A,TRUE,"Anaquest";"Pound Sterling",#N/A,TRUE,"Delta";"Pound Sterling",#N/A,TRUE,"INO"}</definedName>
    <definedName name="asdassd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asddf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asddsads">{"Units A",#N/A,FALSE,"FY95SLS";"Units B",#N/A,FALSE,"FY95SLS"}</definedName>
    <definedName name="asdf">{"histincome",#N/A,FALSE,"hyfins";"closing balance",#N/A,FALSE,"hyfins"}</definedName>
    <definedName name="asdfa">{"histincome",#N/A,FALSE,"hyfins";"closing balance",#N/A,FALSE,"hyfins"}</definedName>
    <definedName name="asdfad">{"histincome",#N/A,FALSE,"hyfins";"closing balance",#N/A,FALSE,"hyfins"}</definedName>
    <definedName name="asdfadf">{"histincome",#N/A,FALSE,"hyfins";"closing balance",#N/A,FALSE,"hyfins"}</definedName>
    <definedName name="asdfadsfas">{"histincome",#N/A,FALSE,"hyfins";"closing balance",#N/A,FALSE,"hyfins"}</definedName>
    <definedName name="asdfasd">{"histincome",#N/A,FALSE,"hyfins";"closing balance",#N/A,FALSE,"hyfins"}</definedName>
    <definedName name="asdfasdd">{"histincome",#N/A,FALSE,"hyfins";"closing balance",#N/A,FALSE,"hyfins"}</definedName>
    <definedName name="asdfasddfa">{"histincome",#N/A,FALSE,"hyfins";"closing balance",#N/A,FALSE,"hyfins"}</definedName>
    <definedName name="asdfasdf">{"'Directory'!$A$72:$E$91"}</definedName>
    <definedName name="asdfasdfasdadf">{"'Directory'!$A$72:$E$91"}</definedName>
    <definedName name="asdfasdfasdf">{"SUMMARY",#N/A,TRUE,"SUMMARY";"compare",#N/A,TRUE,"Vs. Bus Plan";"ratios",#N/A,TRUE,"Ratios";"REVENUE",#N/A,TRUE,"Revenue";"expenses",#N/A,TRUE,"1996 budget";"payroll",#N/A,TRUE,"Payroll"}</definedName>
    <definedName name="asdfasdfg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asdfc">{"sens1\",#N/A,FALSE,"PF";"sens2",#N/A,FALSE,"PF";"sens3",#N/A,FALSE,"PF";"sens4",#N/A,FALSE,"PF"}</definedName>
    <definedName name="asdfd">{"histincome",#N/A,FALSE,"hyfins";"closing balance",#N/A,FALSE,"hyfins"}</definedName>
    <definedName name="asdfdaf">{#N/A,#N/A,FALSE,"Tar-Ass";#N/A,#N/A,FALSE,"Tar-IS";#N/A,#N/A,FALSE,"Tar-BS";#N/A,#N/A,FALSE,"Tar-Adg BS";#N/A,#N/A,FALSE,"Tar-CF"}</definedName>
    <definedName name="asdffasd">{#N/A,#N/A,FALSE,"Combo-Ass ";#N/A,#N/A,FALSE,"Combo-IS";#N/A,#N/A,FALSE,"Combo-BS";#N/A,#N/A,FALSE,"Combo-CF"}</definedName>
    <definedName name="asdfsda">{#N/A,#N/A,FALSE,"FY97";#N/A,#N/A,FALSE,"FY98";#N/A,#N/A,FALSE,"FY99";#N/A,#N/A,FALSE,"FY00";#N/A,#N/A,FALSE,"FY01"}</definedName>
    <definedName name="asdg">{"'Clientes_acumulado'!$A$1:$G$177"}</definedName>
    <definedName name="asdgaerghawergt">{"histincome",#N/A,FALSE,"hyfins";"closing balance",#N/A,FALSE,"hyfins"}</definedName>
    <definedName name="asdgasdfasdfas">{"histincome",#N/A,FALSE,"hyfins";"closing balance",#N/A,FALSE,"hyfins"}</definedName>
    <definedName name="asdgasrgasdf">{"histincome",#N/A,FALSE,"hyfins";"closing balance",#N/A,FALSE,"hyfins"}</definedName>
    <definedName name="asdsda">{#N/A,#N/A,FALSE,"Tar-Ass";#N/A,#N/A,FALSE,"Tar-IS";#N/A,#N/A,FALSE,"Tar-BS";#N/A,#N/A,FALSE,"Tar-Adg BS";#N/A,#N/A,FALSE,"Tar-CF"}</definedName>
    <definedName name="asdsdf">{#N/A,#N/A,TRUE,"Acq-Ass";#N/A,#N/A,TRUE,"Acq-IS";#N/A,#N/A,TRUE,"Acq-BS";#N/A,#N/A,TRUE,"Acq-CF"}</definedName>
    <definedName name="asdsdfasdf">{"'Directory'!$A$72:$E$91"}</definedName>
    <definedName name="asf">{"'Directory'!$A$72:$E$91"}</definedName>
    <definedName name="asfads">{"histincome",#N/A,FALSE,"hyfins";"closing balance",#N/A,FALSE,"hyfins"}</definedName>
    <definedName name="asfaeq4rwegfta">{"Final",#N/A,FALSE,"Feb-96"}</definedName>
    <definedName name="asfdf">{#N/A,#N/A,TRUE,"Pivots-Employee";#N/A,"Scenario1",TRUE,"Assumptions Summary"}</definedName>
    <definedName name="asfsd">{#N/A,#N/A,TRUE,"Val - sum";#N/A,#N/A,TRUE,"Val - Sum1";#N/A,#N/A,TRUE,"Val - sum2";#N/A,#N/A,TRUE,"Val - Sum3";#N/A,#N/A,TRUE,"Tar-DCF";#N/A,#N/A,TRUE,"Tar-Val LBO";#N/A,#N/A,TRUE,"Tar-Mult Val"}</definedName>
    <definedName name="asg">{"'Directory'!$A$72:$E$91"}</definedName>
    <definedName name="asgasdg">{"Units A",#N/A,FALSE,"FY95SLS";"Units B",#N/A,FALSE,"FY95SLS"}</definedName>
    <definedName name="ash">{"Pound Sterling",#N/A,TRUE,"PPD";"Pound Sterling",#N/A,TRUE,"Anaquest";"Pound Sterling",#N/A,TRUE,"Delta";"Pound Sterling",#N/A,TRUE,"INO"}</definedName>
    <definedName name="asm">{#N/A,#N/A,FALSE,"Resumen Saldos";#N/A,#N/A,FALSE,"COMPARATIVO 98-99 (3)";#N/A,#N/A,FALSE,"GASTOS A DIST.";#N/A,#N/A,FALSE,"Graficos - Ventas";#N/A,#N/A,FALSE,"Graficos - Ventas (2)";#N/A,#N/A,FALSE,"Graficos - Clientes";#N/A,#N/A,FALSE,"politicas de amortizacion.";#N/A,#N/A,FALSE,"Inmovilizado";#N/A,#N/A,FALSE,"Inmov.Inmat";#N/A,#N/A,FALSE,"Inm. Financiero";#N/A,#N/A,FALSE,"A.A. Públicas";#N/A,#N/A,FALSE,"COMPARATIVO 98-99";#N/A,#N/A,FALSE,"MARGENxUNID"}</definedName>
    <definedName name="asregregseer">{"Final",#N/A,FALSE,"Feb-96"}</definedName>
    <definedName name="att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ugust">{"TOP PORTION",#N/A,FALSE,"0895"}</definedName>
    <definedName name="August_1">{"TOP PORTION",#N/A,FALSE,"0895"}</definedName>
    <definedName name="August_2">{"TOP PORTION",#N/A,FALSE,"0895"}</definedName>
    <definedName name="August_3">{"TOP PORTION",#N/A,FALSE,"0895"}</definedName>
    <definedName name="August_4">{"TOP PORTION",#N/A,FALSE,"0895"}</definedName>
    <definedName name="August_5">{"TOP PORTION",#N/A,FALSE,"0895"}</definedName>
    <definedName name="bad">{#N/A,#N/A,FALSE,"Proj Cost";#N/A,#N/A,FALSE,"Fair Scenario";#N/A,#N/A,FALSE,"Wonderful Scenario";#N/A,#N/A,FALSE,"Awful Scenario"}</definedName>
    <definedName name="badfga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Bank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B">{#N/A,#N/A,FALSE,"Cash Flow"}</definedName>
    <definedName name="bbb">{"Units A",#N/A,FALSE,"FY95SLS";"Units B",#N/A,FALSE,"FY95SLS"}</definedName>
    <definedName name="bbbb">{"Pound Sterling",#N/A,TRUE,"PPD";"Pound Sterling",#N/A,TRUE,"Anaquest";"Pound Sterling",#N/A,TRUE,"Delta";"Pound Sterling",#N/A,TRUE,"INO"}</definedName>
    <definedName name="bbbbb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bbbbbb">{"Units A",#N/A,FALSE,"FY95SLS";"Units B",#N/A,FALSE,"FY95SLS"}</definedName>
    <definedName name="bbbbbbb">{"Pound Sterling",#N/A,TRUE,"PPD";"Pound Sterling",#N/A,TRUE,"Anaquest";"Pound Sterling",#N/A,TRUE,"Delta";"Pound Sterling",#N/A,TRUE,"INO"}</definedName>
    <definedName name="bbbbbbbb">{"Pound Sterling",#N/A,TRUE,"PPD";"Pound Sterling",#N/A,TRUE,"Anaquest";"Pound Sterling",#N/A,TRUE,"Delta";"Pound Sterling",#N/A,TRUE,"INO"}</definedName>
    <definedName name="bbbbbbbbb">{"Units A",#N/A,FALSE,"FY95SLS";"Units B",#N/A,FALSE,"FY95SLS"}</definedName>
    <definedName name="bcvb">{"Pound Sterling",#N/A,TRUE,"PPD";"Pound Sterling",#N/A,TRUE,"Anaquest";"Pound Sterling",#N/A,TRUE,"Delta";"Pound Sterling",#N/A,TRUE,"INO"}</definedName>
    <definedName name="bdfga">{"Pound Sterling",#N/A,TRUE,"PPD";"Pound Sterling",#N/A,TRUE,"Anaquest";"Pound Sterling",#N/A,TRUE,"Delta";"Pound Sterling",#N/A,TRUE,"INO"}</definedName>
    <definedName name="Bear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localSheetId="0" name="BExD6AXJP3EWP95K0E3OVUYCIBS5">[33]Caracteristicas!#REF!</definedName>
    <definedName name="BExD6AXJP3EWP95K0E3OVUYCIBS5">[33]Caracteristicas!#REF!</definedName>
    <definedName name="bfags">{"Pound Sterling",#N/A,TRUE,"PPD";"Pound Sterling",#N/A,TRUE,"Anaquest";"Pound Sterling",#N/A,TRUE,"Delta";"Pound Sterling",#N/A,TRUE,"INO"}</definedName>
    <definedName name="bfgh">{"Units A",#N/A,FALSE,"FY95SLS";"Units B",#N/A,FALSE,"FY95SLS"}</definedName>
    <definedName name="bfrr">{#N/A,#N/A,FALSE,"campo"}</definedName>
    <definedName name="BG_Del">15</definedName>
    <definedName name="BG_Ins">4</definedName>
    <definedName name="BG_Mod">6</definedName>
    <definedName name="bgf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bgfh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bgfhwrth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BHGJ">{"stepel",#N/A,FALSE,"AHFSTEP"}</definedName>
    <definedName name="bhsdf">{#N/A,#N/A,TRUE,"Mkt Assumptions";#N/A,#N/A,TRUE,"Income_Statement";#N/A,#N/A,TRUE,"Balance_Sheet";#N/A,#N/A,TRUE,"Cash_Flow_Stmt";#N/A,#N/A,TRUE,"Debt_Repayment";#N/A,#N/A,TRUE,"Ratio_Analysis";#N/A,#N/A,TRUE,"Inc_Stmt_Assumptions"}</definedName>
    <definedName name="bienes">{#N/A,#N/A,FALSE,"Aging Summary";#N/A,#N/A,FALSE,"Ratio Analysis";#N/A,#N/A,FALSE,"Test 120 Day Accts";#N/A,#N/A,FALSE,"Tickmarks"}</definedName>
    <definedName name="bienesuso">{#N/A,#N/A,FALSE,"Aging Summary";#N/A,#N/A,FALSE,"Ratio Analysis";#N/A,#N/A,FALSE,"Test 120 Day Accts";#N/A,#N/A,FALSE,"Tickmarks"}</definedName>
    <definedName name="Billie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bla">{#N/A,#N/A,FALSE,"Cash Flow"}</definedName>
    <definedName name="blah">{"'Perf 96'!$A$1:$P$98"}</definedName>
    <definedName localSheetId="0" name="BLPH1">'[34]pe ratio'!#REF!</definedName>
    <definedName name="BLPH1">'[34]pe ratio'!#REF!</definedName>
    <definedName localSheetId="0" name="BLPH2">[35]equities!#REF!</definedName>
    <definedName name="BLPH2">[35]equities!#REF!</definedName>
    <definedName localSheetId="0" name="BLPH3">[35]equities!#REF!</definedName>
    <definedName name="BLPH3">[35]equities!#REF!</definedName>
    <definedName localSheetId="0" name="BLPH4">'[34]pe ratio'!#REF!</definedName>
    <definedName name="BLPH4">'[34]pe ratio'!#REF!</definedName>
    <definedName localSheetId="0" name="BLPH5">[35]equities!#REF!</definedName>
    <definedName name="BLPH5">[35]equities!#REF!</definedName>
    <definedName name="BN">{#N/A,#N/A,FALSE,"SUMMARY"}</definedName>
    <definedName name="bnn">{#N/A,#N/A,FALSE,"INPUTS";#N/A,#N/A,FALSE,"PROFORMA BSHEET";#N/A,#N/A,FALSE,"COMBINED";#N/A,#N/A,FALSE,"ACQUIROR";#N/A,#N/A,FALSE,"TARGET 1";#N/A,#N/A,FALSE,"TARGET 2";#N/A,#N/A,FALSE,"HIGH YIELD";#N/A,#N/A,FALSE,"OVERFUND"}</definedName>
    <definedName name="bsfdg">{"Pound Sterling",#N/A,TRUE,"PPD";"Pound Sterling",#N/A,TRUE,"Anaquest";"Pound Sterling",#N/A,TRUE,"Delta";"Pound Sterling",#N/A,TRUE,"INO"}</definedName>
    <definedName name="bthtgbhtrnhjy">{"Draft",#N/A,FALSE,"Feb-96"}</definedName>
    <definedName name="BUC">{"Page 1",#N/A,TRUE,"Sheet1";"Page 2",#N/A,TRUE,"Sheet1"}</definedName>
    <definedName name="buma">{"SchG1",#N/A,FALSE,"Schedules";"SchG2",#N/A,FALSE,"Schedules"}</definedName>
    <definedName name="BumaSena">{"SchL1",#N/A,FALSE,"Schedules";"SchL2",#N/A,FALSE,"Schedules"}</definedName>
    <definedName name="bvcx">{"US Dollars",#N/A,TRUE,"PPD";"US Dollar",#N/A,TRUE,"Anaquest";"US Dollar",#N/A,TRUE,"Delta";"US Dollar",#N/A,TRUE,"INO"}</definedName>
    <definedName name="bvn">{"Units A",#N/A,FALSE,"FY95SLS";"Units B",#N/A,FALSE,"FY95SLS"}</definedName>
    <definedName name="bzxcfg">{"Units A",#N/A,FALSE,"FY95SLS";"Units B",#N/A,FALSE,"FY95SLS"}</definedName>
    <definedName name="Campusack">{#N/A,#N/A,TRUE,"97plnfpg"}</definedName>
    <definedName name="capitalized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b_sChart155F5559_opts">"1, 1, 1, False, 2, False, False, , 0, False, False, 1, 1"</definedName>
    <definedName name="cb_sChart155F5734_opts">"1, 1, 1, False, 2, False, False, , 0, False, False, 2, 1"</definedName>
    <definedName name="cb_sChart155F57B3_opts">"1, 1, 1, False, 2, False, False, , 0, False, False, 1, 1"</definedName>
    <definedName name="cb_sChart41E9A35_opts">"1, 9, 1, False, 2, False, False, , 0, False, True, 1, 1"</definedName>
    <definedName name="CBWorkbookPriority">-1233899805</definedName>
    <definedName name="cc">{#N/A,#N/A,FALSE,"ACH &amp; Subs.- Income Stmt.";#N/A,#N/A,FALSE,"ACH &amp; Subs.- Balance Sheet";#N/A,#N/A,FALSE,"ACH - Investment in Subs.";#N/A,#N/A,FALSE,"ALICC &amp; Subs.- Income Stmt.";#N/A,#N/A,FALSE,"ALICC &amp; Subs.- Balance Sheet";#N/A,#N/A,FALSE,"ALICC - Investment in Subs.";#N/A,#N/A,FALSE,"aliclob"}</definedName>
    <definedName name="ccc">{#N/A,#N/A,FALSE,"ACH &amp; Subs.- Income Stmt.";#N/A,#N/A,FALSE,"ACH &amp; Subs.- Balance Sheet";#N/A,#N/A,FALSE,"ACH - Investment in Subs.";#N/A,#N/A,FALSE,"ALICC &amp; Subs.- Income Stmt.";#N/A,#N/A,FALSE,"ALICC &amp; Subs.- Balance Sheet";#N/A,#N/A,FALSE,"ALICC - Investment in Subs.";#N/A,#N/A,FALSE,"aliclob"}</definedName>
    <definedName name="cccc">{"DL's_Breakout",#N/A,TRUE,"SSMC(DL's breakout)";"02SSMC_YTD",#N/A,TRUE,"SSMC";"21OPN_CMth",#N/A,TRUE,"OPN";"22OPN_YTD",#N/A,TRUE,"OPN"}</definedName>
    <definedName name="ce">{#N/A,#N/A,FALSE,"campo"}</definedName>
    <definedName name="ceficec">{"VISTA1",#N/A,FALSE,"Hoja2";"VISTA2",#N/A,FALSE,"Hoja2"}</definedName>
    <definedName name="CF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fef">{#N/A,#N/A,FALSE,"Admin";#N/A,#N/A,FALSE,"Other"}</definedName>
    <definedName localSheetId="0" name="ChangeRange">[36]!ChangeRange</definedName>
    <definedName name="ChangeRange">[36]!ChangeRange</definedName>
    <definedName name="Cheese_Consumption">38812.6729398148</definedName>
    <definedName name="CIQWBGuid">"5e56924a-66ab-4ca7-bf6d-90965e581737"</definedName>
    <definedName name="ClientMatter">"b1"</definedName>
    <definedName name="Combined">{#N/A,#N/A,FALSE,"OnePager"}</definedName>
    <definedName name="Compad">{#N/A,#N/A,FALSE,"J97plnfp"}</definedName>
    <definedName name="ComparatEU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nsejo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localSheetId="0" name="ContentsHelp">[36]!ContentsHelp</definedName>
    <definedName name="ContentsHelp">[36]!ContentsHelp</definedName>
    <definedName name="copia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py">{"TOP PORTION",#N/A,FALSE,"0895"}</definedName>
    <definedName name="copy_1">{"TOP PORTION",#N/A,FALSE,"0895"}</definedName>
    <definedName name="copy_2">{"TOP PORTION",#N/A,FALSE,"0895"}</definedName>
    <definedName name="copy_3">{"TOP PORTION",#N/A,FALSE,"0895"}</definedName>
    <definedName name="copy_4">{"TOP PORTION",#N/A,FALSE,"0895"}</definedName>
    <definedName name="copy_5">{"TOP PORTION",#N/A,FALSE,"0895"}</definedName>
    <definedName localSheetId="0" name="CR">[36]!ChangeRange</definedName>
    <definedName name="CR">[36]!ChangeRange</definedName>
    <definedName name="crap">{#N/A,#N/A,FALSE,"J97plnfp"}</definedName>
    <definedName localSheetId="0" name="CreateTable">[36]!CreateTable</definedName>
    <definedName name="CreateTable">[36]!CreateTable</definedName>
    <definedName localSheetId="0" name="d">Scheduled_Payment+Extra_Payment</definedName>
    <definedName name="d">Scheduled_Payment+Extra_Payment</definedName>
    <definedName name="dada">{#N/A,#N/A,FALSE,"FINBILD";#N/A,#N/A,FALSE,"BALANSR";#N/A,#N/A,FALSE,"FINANSIERING";#N/A,#N/A,FALSE,"VERKAO13";#N/A,#N/A,FALSE,"VERKAO12";#N/A,#N/A,FALSE,"VERKAO11";#N/A,#N/A,FALSE,"INTLEVER";#N/A,#N/A,FALSE,"RESAFFO";#N/A,#N/A,FALSE,"PERKVART";#N/A,#N/A,FALSE,"RESKONC"}</definedName>
    <definedName name="das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dasf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dasfdas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Data_summary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b">{#N/A,#N/A,FALSE,"Memo Page";#N/A,#N/A,FALSE,"Flash";#N/A,#N/A,FALSE,"Sls vs Mkt";#N/A,#N/A,FALSE,"YTD";#N/A,#N/A,FALSE,"Brand Detail";#N/A,#N/A,FALSE,"QTR_Index"}</definedName>
    <definedName name="DCF_Nieva">{#N/A,#N/A,FALSE,"model"}</definedName>
    <definedName name="dd">{"page1",#N/A,FALSE,"A";"page2",#N/A,FALSE,"A"}</definedName>
    <definedName name="DDF">{#N/A,#N/A,FALSE,"AHF"}</definedName>
    <definedName name="de">{#N/A,#N/A,FALSE,"Initial Year";#N/A,#N/A,FALSE,"Historical";#N/A,#N/A,FALSE,"balsheet";#N/A,#N/A,FALSE,"incstate";#N/A,#N/A,FALSE,"Fleet"}</definedName>
    <definedName name="dede">{#N/A,#N/A,FALSE,"FINBILD";#N/A,#N/A,FALSE,"BALANSR";#N/A,#N/A,FALSE,"FINANSIERING";#N/A,#N/A,FALSE,"VERKAO13";#N/A,#N/A,FALSE,"VERKAO12";#N/A,#N/A,FALSE,"VERKAO11";#N/A,#N/A,FALSE,"INTLEVER";#N/A,#N/A,FALSE,"RESAFFO";#N/A,#N/A,FALSE,"PERKVART";#N/A,#N/A,FALSE,"RESKONC"}</definedName>
    <definedName name="DEFC">{#N/A,#N/A,FALSE,"SUMMARY"}</definedName>
    <definedName localSheetId="0" name="DeleteRange">[36]!DeleteRange</definedName>
    <definedName name="DeleteRange">[36]!DeleteRange</definedName>
    <definedName localSheetId="0" name="DeleteTable">[36]!DeleteTable</definedName>
    <definedName name="DeleteTable">[36]!DeleteTable</definedName>
    <definedName name="Deuda">{#N/A,#N/A,FALSE,"ACQ_GRAPHS";#N/A,#N/A,FALSE,"T_1 GRAPHS";#N/A,#N/A,FALSE,"T_2 GRAPHS";#N/A,#N/A,FALSE,"COMB_GRAPHS"}</definedName>
    <definedName name="df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dfa">{"histincome",#N/A,FALSE,"hyfins";"closing balance",#N/A,FALSE,"hyfins"}</definedName>
    <definedName name="dfasdf">{#N/A,#N/A,FALSE,"Cash Flow"}</definedName>
    <definedName name="dfdfgj">{#N/A,#N/A,TRUE,"Pivots-Employee";#N/A,"Scenario1",TRUE,"Assumptions Summary"}</definedName>
    <definedName name="dfff">{"'Directory'!$A$72:$E$91"}</definedName>
    <definedName name="dfg">{#N/A,#N/A,FALSE,"Op-BS";#N/A,#N/A,FALSE,"Assum";#N/A,#N/A,FALSE,"IS";#N/A,#N/A,FALSE,"Syn+Elim";#N/A,#N/A,FALSE,"BSCF";#N/A,#N/A,FALSE,"Blue_IS";#N/A,#N/A,FALSE,"Blue_BSCF";#N/A,#N/A,FALSE,"Ratings"}</definedName>
    <definedName name="dfgdfg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dfgerg">{"Units A",#N/A,FALSE,"FY95SLS";"Units B",#N/A,FALSE,"FY95SLS"}</definedName>
    <definedName name="dfgf">{"Pound Sterling",#N/A,TRUE,"PPD";"Pound Sterling",#N/A,TRUE,"Anaquest";"Pound Sterling",#N/A,TRUE,"Delta";"Pound Sterling",#N/A,TRUE,"INO"}</definedName>
    <definedName name="dfghddfgq">{"histincome",#N/A,FALSE,"hyfins";"closing balance",#N/A,FALSE,"hyfins"}</definedName>
    <definedName name="dfghgdhgfhd">{"'Sheet1'!$A$1:$O$40"}</definedName>
    <definedName name="dfgj">{#N/A,#N/A,TRUE,"Pivots-Employee";#N/A,"Scenerio2",TRUE,"Assumptions Summary"}</definedName>
    <definedName name="dfgjdf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dfgjgf">{"Agg Output",#N/A,FALSE,"Operational Drivers Output";"NW Output",#N/A,FALSE,"Operational Drivers Output";"South Output",#N/A,FALSE,"Operational Drivers Output";"Central Output",#N/A,FALSE,"Operational Drivers Output"}</definedName>
    <definedName name="dfgsfg">{"Pound Sterling",#N/A,TRUE,"PPD";"Pound Sterling",#N/A,TRUE,"Anaquest";"Pound Sterling",#N/A,TRUE,"Delta";"Pound Sterling",#N/A,TRUE,"INO"}</definedName>
    <definedName name="dfh">{"'Directory'!$A$72:$E$91"}</definedName>
    <definedName name="dfhbadfh">{"Pound Sterling",#N/A,TRUE,"PPD";"Pound Sterling",#N/A,TRUE,"Anaquest";"Pound Sterling",#N/A,TRUE,"Delta";"Pound Sterling",#N/A,TRUE,"INO"}</definedName>
    <definedName name="dfhdfg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dfhdfghdg">{"histincome",#N/A,FALSE,"hyfins";"closing balance",#N/A,FALSE,"hyfins"}</definedName>
    <definedName name="dfhdgdgdfghjdjyj">{"histincome",#N/A,FALSE,"hyfins";"closing balance",#N/A,FALSE,"hyfins"}</definedName>
    <definedName name="dfhg">{"'Directory'!$A$72:$E$91"}</definedName>
    <definedName name="dfhtru">{"Units A",#N/A,FALSE,"FY95SLS";"Units B",#N/A,FALSE,"FY95SLS"}</definedName>
    <definedName name="dfjf">{"Final",#N/A,FALSE,"Feb-96"}</definedName>
    <definedName name="dfs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dfsdf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dg">{"'Sheet1'!$A$1:$O$40"}</definedName>
    <definedName name="dgf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dgfdf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dgfdg">{#N/A,#N/A,FALSE,"INPUTS";#N/A,#N/A,FALSE,"PROFORMA BSHEET";#N/A,#N/A,FALSE,"COMBINED";#N/A,#N/A,FALSE,"ACQUIROR";#N/A,#N/A,FALSE,"TARGET 1";#N/A,#N/A,FALSE,"TARGET 2";#N/A,#N/A,FALSE,"HIGH YIELD";#N/A,#N/A,FALSE,"OVERFUND"}</definedName>
    <definedName name="dgfg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dgfhayr">{"Units A",#N/A,FALSE,"FY95SLS";"Units B",#N/A,FALSE,"FY95SLS"}</definedName>
    <definedName name="dghdf">{"'Directory'!$A$72:$E$91"}</definedName>
    <definedName name="dghdgdjyukyu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dghdghd">{"'Directory'!$A$72:$E$91"}</definedName>
    <definedName name="dghdrxtgbhtr">{#N/A,#N/A,FALSE,"Acq-Val";#N/A,#N/A,FALSE,"Acq-Mult Val"}</definedName>
    <definedName name="dghfhsdgbsdf">{"histincome",#N/A,FALSE,"hyfins";"closing balance",#N/A,FALSE,"hyfins"}</definedName>
    <definedName name="dghgdgf">{"Final",#N/A,FALSE,"Feb-96"}</definedName>
    <definedName name="dgrety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dgsdf">{#N/A,#N/A,FALSE,"Tar-Ass";#N/A,#N/A,FALSE,"Tar-IS";#N/A,#N/A,FALSE,"Tar-BS";#N/A,#N/A,FALSE,"Tar-Adg BS";#N/A,#N/A,FALSE,"Tar-CF"}</definedName>
    <definedName name="dgwigwr">{#N/A,#N/A,FALSE,"campo"}</definedName>
    <definedName name="dhgkdghk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dhmdgj">{"Pound Sterling",#N/A,TRUE,"PPD";"Pound Sterling",#N/A,TRUE,"Anaquest";"Pound Sterling",#N/A,TRUE,"Delta";"Pound Sterling",#N/A,TRUE,"INO"}</definedName>
    <definedName name="dhr">{"Pound Sterling",#N/A,TRUE,"PPD";"Pound Sterling",#N/A,TRUE,"Anaquest";"Pound Sterling",#N/A,TRUE,"Delta";"Pound Sterling",#N/A,TRUE,"INO"}</definedName>
    <definedName name="dhrdh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dhtrhdr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didi">{#N/A,#N/A,FALSE,"FINBILD";#N/A,#N/A,FALSE,"BALANSR";#N/A,#N/A,FALSE,"FINANSIERING";#N/A,#N/A,FALSE,"VERKAO13";#N/A,#N/A,FALSE,"VERKAO12";#N/A,#N/A,FALSE,"VERKAO11";#N/A,#N/A,FALSE,"INTLEVER";#N/A,#N/A,FALSE,"RESAFFO";#N/A,#N/A,FALSE,"PERKVART";#N/A,#N/A,FALSE,"RESKONC"}</definedName>
    <definedName name="diek">{"Units A",#N/A,FALSE,"FY95SLS";"Units B",#N/A,FALSE,"FY95SLS"}</definedName>
    <definedName name="disc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isclaimer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jdfhdfghg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DocumentName">"b1"</definedName>
    <definedName name="DocumentNum">"a1"</definedName>
    <definedName name="drhdrh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drhrhdfh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drhrhr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drthjdrnh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ds">"c1630"</definedName>
    <definedName name="dsafd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dsf">{"page1",#N/A,FALSE,"PF";"page2",#N/A,FALSE,"PF";"page3",#N/A,FALSE,"PF";"page4",#N/A,FALSE,"Bal_Sht"}</definedName>
    <definedName name="dsfasd">{#N/A,#N/A,FALSE,"FY97";#N/A,#N/A,FALSE,"FY98";#N/A,#N/A,FALSE,"FY99";#N/A,#N/A,FALSE,"FY00";#N/A,#N/A,FALSE,"FY01"}</definedName>
    <definedName name="dsfg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dsfssfdg">{#N/A,#N/A,TRUE,"Pivots-Employee";#N/A,"Scenario1",TRUE,"Assumptions Summary"}</definedName>
    <definedName name="dtht">{"US Dollars",#N/A,TRUE,"PPD";"US Dollar",#N/A,TRUE,"Anaquest";"US Dollar",#N/A,TRUE,"Delta";"US Dollar",#N/A,TRUE,"INO"}</definedName>
    <definedName name="dtr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dvdfv">{"VWJECAN",#N/A,FALSE,"D"}</definedName>
    <definedName name="dvfgwery">{"Units A",#N/A,FALSE,"FY95SLS";"Units B",#N/A,FALSE,"FY95SLS"}</definedName>
    <definedName name="easfasd">{"histincome",#N/A,FALSE,"hyfins";"closing balance",#N/A,FALSE,"hyfins"}</definedName>
    <definedName name="EBIT_3">{#N/A,#N/A,FALSE,"ACH &amp; Subs.- Income Stmt.";#N/A,#N/A,FALSE,"ACH &amp; Subs.- Balance Sheet";#N/A,#N/A,FALSE,"ACH - Investment in Subs.";#N/A,#N/A,FALSE,"ALICC &amp; Subs.- Income Stmt.";#N/A,#N/A,FALSE,"ALICC &amp; Subs.- Balance Sheet";#N/A,#N/A,FALSE,"ALICC - Investment in Subs.";#N/A,#N/A,FALSE,"aliclob"}</definedName>
    <definedName name="EBIT_33">{"test",#N/A,FALSE,"Totaal Overzicht"}</definedName>
    <definedName name="EBIT_4">{#N/A,#N/A,FALSE,"ACH &amp; Subs.- Income Stmt.";#N/A,#N/A,FALSE,"ACH &amp; Subs.- Balance Sheet";#N/A,#N/A,FALSE,"ACH - Investment in Subs.";#N/A,#N/A,FALSE,"ALICC &amp; Subs.- Income Stmt.";#N/A,#N/A,FALSE,"ALICC &amp; Subs.- Balance Sheet";#N/A,#N/A,FALSE,"ALICC - Investment in Subs.";#N/A,#N/A,FALSE,"aliclob"}</definedName>
    <definedName name="eddfyi">{"Pound Sterling",#N/A,TRUE,"PPD";"Pound Sterling",#N/A,TRUE,"Anaquest";"Pound Sterling",#N/A,TRUE,"Delta";"Pound Sterling",#N/A,TRUE,"INO"}</definedName>
    <definedName name="e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e">{#N/A,#N/A,FALSE,"Table of Contents";#N/A,#N/A,FALSE,"Overview";#N/A,#N/A,FALSE,"Data"}</definedName>
    <definedName name="eee_1">{#N/A,#N/A,FALSE,"Income State.";#N/A,#N/A,FALSE,"B-S"}</definedName>
    <definedName name="eee_2">{#N/A,#N/A,FALSE,"Income State.";#N/A,#N/A,FALSE,"B-S"}</definedName>
    <definedName name="eee_3">{#N/A,#N/A,FALSE,"Income State.";#N/A,#N/A,FALSE,"B-S"}</definedName>
    <definedName name="eee_4">{#N/A,#N/A,FALSE,"Income State.";#N/A,#N/A,FALSE,"B-S"}</definedName>
    <definedName name="eee_5">{#N/A,#N/A,FALSE,"Income State.";#N/A,#N/A,FALSE,"B-S"}</definedName>
    <definedName name="eeee">{"Pound Sterling",#N/A,TRUE,"PPD";"Pound Sterling",#N/A,TRUE,"Anaquest";"Pound Sterling",#N/A,TRUE,"Delta";"Pound Sterling",#N/A,TRUE,"INO"}</definedName>
    <definedName name="eeeee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eeeeeee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eeeeeeeeeee">{"Pound Sterling",#N/A,TRUE,"PPD";"Pound Sterling",#N/A,TRUE,"Anaquest";"Pound Sterling",#N/A,TRUE,"Delta";"Pound Sterling",#N/A,TRUE,"INO"}</definedName>
    <definedName name="eeeeeeeeeeee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eemn">{"SchF1",#N/A,FALSE,"Schedules";"SchF2",#N/A,FALSE,"Schedules"}</definedName>
    <definedName name="ee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re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fin">{#N/A,#N/A,FALSE,"Output";#N/A,#N/A,FALSE,"Cover Sheet";#N/A,#N/A,FALSE,"Current Mkt. Projections"}</definedName>
    <definedName name="efn">{#N/A,#N/A,TRUE,"DCF Summary";#N/A,#N/A,TRUE,"Casema";#N/A,#N/A,TRUE,"UK";#N/A,#N/A,TRUE,"RCF";#N/A,#N/A,TRUE,"Intercable CZ";#N/A,#N/A,TRUE,"Interkabel P";#N/A,#N/A,TRUE,"LBO-Total";#N/A,#N/A,TRUE,"LBO-Casema"}</definedName>
    <definedName name="eileen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eileen10">{"Units A",#N/A,FALSE,"FY95SLS";"Units B",#N/A,FALSE,"FY95SLS"}</definedName>
    <definedName name="eileen11">{"US Dollars",#N/A,TRUE,"PPD";"US Dollar",#N/A,TRUE,"Anaquest";"US Dollar",#N/A,TRUE,"Delta";"US Dollar",#N/A,TRUE,"INO"}</definedName>
    <definedName name="eileen2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eileen3">{"Pound Sterling",#N/A,TRUE,"PPD";"Pound Sterling",#N/A,TRUE,"Anaquest";"Pound Sterling",#N/A,TRUE,"Delta";"Pound Sterling",#N/A,TRUE,"INO"}</definedName>
    <definedName name="eileen4">{"Pound Sterling",#N/A,TRUE,"PPD";"Pound Sterling",#N/A,TRUE,"Anaquest";"Pound Sterling",#N/A,TRUE,"Delta";"Pound Sterling",#N/A,TRUE,"INO"}</definedName>
    <definedName name="eileen5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eileen6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eileen7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eileen8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eileen9">{"Units A",#N/A,FALSE,"FY95SLS";"Units B",#N/A,FALSE,"FY95SLS"}</definedName>
    <definedName name="engl">{#N/A,#N/A,FALSE,"FINBILD";#N/A,#N/A,FALSE,"BALANSR";#N/A,#N/A,FALSE,"FINANSIERING";#N/A,#N/A,FALSE,"VERKAO13";#N/A,#N/A,FALSE,"VERKAO12";#N/A,#N/A,FALSE,"VERKAO11";#N/A,#N/A,FALSE,"INTLEVER";#N/A,#N/A,FALSE,"RESAFFO";#N/A,#N/A,FALSE,"PERKVART";#N/A,#N/A,FALSE,"RESKONC"}</definedName>
    <definedName name="EPMWorkbookOptions_1">"dgEAAB+LCAAAAAAABACF0MEOgjAMBuC7ie+w7C4DTTwYwINeTCQYTdRrhQKL0JFtOh9fokGjHrz+/dqmDee3pmZX1EYqinjg+ZwhZSqXVEb8YotRMOXzeDgID0qfT0qd09Z21LCuj8zsZvKIV9a2MyGcc56beEqXYuz7gTgm611WYQP8heV/PJJkLFCGvNvKWLjFQqOpUkpbpLiA2mAoPsOHW9QIegkWUtrBFXv5HT9sf8tGK4uZxbzXv4VP"</definedName>
    <definedName name="EPMWorkbookOptions_2">"73ImntHK7EFLONWYoC7fE37y7nXi63fxHS3iv392AQAA"</definedName>
    <definedName name="EPMWorkbookOptions_3">"BCOdqldwe/|nYxm|XLp8UiXzaM7nBTh2oTtKFWr|fVlYVxUpVVfdTW6/zx3cgXm17lUUTe7I2OXrRfDuN121Z|u6|WxS9a59zh8cnJl1|9ePP4buzLTTBkoCRJ93d27x3segBiJOB3v6xneX208/iu/BKF3qzK7PplXa3yur3uTJQ2ep417eu8JAHJZ1/kiwnJeaRZOK/RBtRE3veG/D0lyPfH33t5/Or0xZtv79KvT17v7OyQCPSaD4D9dpHXW"</definedName>
    <definedName name="EPMWorkbookOptions_4">"T2dX7umKWmVR8ui/OwjzP1H0aHxu5GJuN27j|9uHvDju7ehnDeRP3tM99XTszdvXh2fPf/6fLezs3|ws3N7ttv9fznbWZKEnPfm9/e||REDes1u1WqAAU|O35x|/uWr3|drs9|9e/fv7|/v35799v7fzX6GIMRx9L/jkzdfHf|I3YJmt2o1wG4kzGdvvj6zffpgd|fg4MHtme3e/7uZTcgR6rmTL1|8/vL/6xz3TRLkze//|suTs9Onx0//v06V"</definedName>
    <definedName name="EPMWorkbookOptions_5">"//fI4clXRN3j3//4|ZvTVy|Ov77T|94Cuf//boHs0EWMwO7u/k76I683bHarVgPc9|z5l9/92ixH/u6nn9679x4O7/3/d/McqBFqvNMXP1J1QbNbtRpgtrMXJMsnX359fnvvuP7T/3fzmxIkZLmz3//Fly9Of8R1frNbtRrgulcv35x89YrIe/L1vd3357wH/|/mPI8oYlmfn/x/neO|MVKcfvXq/|u0|H|P9L0||fLl6Q9R7g7|3y13TI5Q37/"</definedName>
    <definedName name="EPMWorkbookOptions_6">"|/4W|/wYJQis|v/|z/6/T4/89Evjm7IsfpgA|/H|3AIIaIbvt7ezujXce/n|d4b5Jgux8On7z5ZsfZVvDZrdqNSCEX5wev/7q1enrH6Ig7u78v1sSv1CSiNP1|7z5UaD9Xo0CbOKNHt89Xq3KYpq1BMd|HnxqmhO0arkkxOmzp1mb8cf|h2|q7uAfv8rP67yZf7n8cpUvj86zsskf3w0/5HYnZZ7VAPrl8nV2mZuW3Y|57Xer|u2kqt4SY7ZMRt"</definedName>
    <definedName name="EPMWorkbookOptions_7">"O6/0XY/mrGs|YafrmS8f0/CKtiJXkjAAA="</definedName>
    <definedName name="er6udui">{"Pound Sterling",#N/A,TRUE,"PPD";"Pound Sterling",#N/A,TRUE,"Anaquest";"Pound Sterling",#N/A,TRUE,"Delta";"Pound Sterling",#N/A,TRUE,"INO"}</definedName>
    <definedName name="erbgegve">{"histincome",#N/A,FALSE,"hyfins";"closing balance",#N/A,FALSE,"hyfins"}</definedName>
    <definedName name="erbghergver">{#N/A,#N/A,FALSE,"Op-BS";#N/A,#N/A,FALSE,"Assum";#N/A,#N/A,FALSE,"IS";#N/A,#N/A,FALSE,"Syn+Elim";#N/A,#N/A,FALSE,"BSCF";#N/A,#N/A,FALSE,"Blue_IS";#N/A,#N/A,FALSE,"Blue_BSCF";#N/A,#N/A,FALSE,"Ratings"}</definedName>
    <definedName name="erer">{#N/A,#N/A,FALSE,"FY97";#N/A,#N/A,FALSE,"FY98";#N/A,#N/A,FALSE,"FY99";#N/A,#N/A,FALSE,"FY00";#N/A,#N/A,FALSE,"FY01"}</definedName>
    <definedName name="erf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">{"Final",#N/A,FALSE,"Feb-96"}</definedName>
    <definedName name="ergaergr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ergeyuhwryu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ergqerg">{"Pound Sterling",#N/A,TRUE,"PPD";"Pound Sterling",#N/A,TRUE,"Anaquest";"Pound Sterling",#N/A,TRUE,"Delta";"Pound Sterling",#N/A,TRUE,"INO"}</definedName>
    <definedName name="ergqregrqe">{"Pound Sterling",#N/A,TRUE,"PPD";"Pound Sterling",#N/A,TRUE,"Anaquest";"Pound Sterling",#N/A,TRUE,"Delta";"Pound Sterling",#N/A,TRUE,"INO"}</definedName>
    <definedName name="ergr">{"Units A",#N/A,FALSE,"FY95SLS";"Units B",#N/A,FALSE,"FY95SLS"}</definedName>
    <definedName name="erh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error_to_be_checked">{#N/A,#N/A,TRUE,"Sale Assumptions";#N/A,#N/A,TRUE,"P&amp;L";#N/A,#N/A,TRUE,"DCF";#N/A,#N/A,TRUE,"Driver Detail";#N/A,#N/A,TRUE,"BS";#N/A,#N/A,TRUE,"CFS";#N/A,#N/A,TRUE,"Debt-Financing";#N/A,#N/A,TRUE,"Tax Calc"}</definedName>
    <definedName name="ersge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ertq">{"Units A",#N/A,FALSE,"FY95SLS";"Units B",#N/A,FALSE,"FY95SLS"}</definedName>
    <definedName name="ertwrhutry">{"Units A",#N/A,FALSE,"FY95SLS";"Units B",#N/A,FALSE,"FY95SLS"}</definedName>
    <definedName name="ervgseer">{#N/A,#N/A,FALSE,"FY97";#N/A,#N/A,FALSE,"FY98";#N/A,#N/A,FALSE,"FY99";#N/A,#N/A,FALSE,"FY00";#N/A,#N/A,FALSE,"FY01"}</definedName>
    <definedName name="erwhqwrh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ryh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esd">{#N/A,#N/A,FALSE,"ACQ_GRAPHS";#N/A,#N/A,FALSE,"T_1 GRAPHS";#N/A,#N/A,FALSE,"T_2 GRAPHS";#N/A,#N/A,FALSE,"COMB_GRAPHS"}</definedName>
    <definedName name="ety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euy">{"Units A",#N/A,FALSE,"FY95SLS";"Units B",#N/A,FALSE,"FY95SLS"}</definedName>
    <definedName name="ev.Calculation">-4135</definedName>
    <definedName name="ev.Initialized">FALSE</definedName>
    <definedName name="EV__LASTREFTIME__">41101.7694212963</definedName>
    <definedName name="EVA">{"DCF",#N/A,FALSE,"CF"}</definedName>
    <definedName name="EVA_1">{"DCF",#N/A,FALSE,"CF"}</definedName>
    <definedName name="EVA_2">{"DCF",#N/A,FALSE,"CF"}</definedName>
    <definedName name="EVA_3">{"DCF",#N/A,FALSE,"CF"}</definedName>
    <definedName name="EVA_4">{"DCF",#N/A,FALSE,"CF"}</definedName>
    <definedName name="EVA_5">{"DCF",#N/A,FALSE,"CF"}</definedName>
    <definedName name="ewgw">{#N/A,#N/A,FALSE,"Admin";#N/A,#N/A,FALSE,"Other"}</definedName>
    <definedName name="ExactAddinConnection">"400"</definedName>
    <definedName name="ExactAddinConnection.400">"PROMAIN;400;april;1"</definedName>
    <definedName name="Excep06">{#N/A,#N/A,TRUE,"P&amp;L";#N/A,#N/A,TRUE,"note 1";#N/A,#N/A,TRUE,"note 2";#N/A,#N/A,TRUE,"note 3";#N/A,#N/A,TRUE,"note 4"}</definedName>
    <definedName name="Excep06_1">{#N/A,#N/A,TRUE,"P&amp;L";#N/A,#N/A,TRUE,"note 1";#N/A,#N/A,TRUE,"note 2";#N/A,#N/A,TRUE,"note 3";#N/A,#N/A,TRUE,"note 4"}</definedName>
    <definedName name="Excep06_2">{#N/A,#N/A,TRUE,"P&amp;L";#N/A,#N/A,TRUE,"note 1";#N/A,#N/A,TRUE,"note 2";#N/A,#N/A,TRUE,"note 3";#N/A,#N/A,TRUE,"note 4"}</definedName>
    <definedName name="Excep06_3">{#N/A,#N/A,TRUE,"P&amp;L";#N/A,#N/A,TRUE,"note 1";#N/A,#N/A,TRUE,"note 2";#N/A,#N/A,TRUE,"note 3";#N/A,#N/A,TRUE,"note 4"}</definedName>
    <definedName name="Excep06_4">{#N/A,#N/A,TRUE,"P&amp;L";#N/A,#N/A,TRUE,"note 1";#N/A,#N/A,TRUE,"note 2";#N/A,#N/A,TRUE,"note 3";#N/A,#N/A,TRUE,"note 4"}</definedName>
    <definedName name="Excep06_5">{#N/A,#N/A,TRUE,"P&amp;L";#N/A,#N/A,TRUE,"note 1";#N/A,#N/A,TRUE,"note 2";#N/A,#N/A,TRUE,"note 3";#N/A,#N/A,TRUE,"note 4"}</definedName>
    <definedName name="ExecSummary">{#N/A,#N/A,FALSE,"J97plnfp"}</definedName>
    <definedName name="expl2">{#N/A,#N/A,FALSE,"campo"}</definedName>
    <definedName name="ｆ">"iQShowAnnual"</definedName>
    <definedName name="fa">{"'Sheet1'!$A$1:$O$40"}</definedName>
    <definedName name="fafa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fafdsfa">{"histincome",#N/A,FALSE,"hyfins";"closing balance",#N/A,FALSE,"hyfins"}</definedName>
    <definedName name="fas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fasasdg">{"'Directory'!$A$72:$E$91"}</definedName>
    <definedName name="fasd">{"'Directory'!$A$72:$E$91"}</definedName>
    <definedName name="fasdas">{#N/A,#N/A,FALSE,"Acq-Val";#N/A,#N/A,FALSE,"Acq-Mult Val"}</definedName>
    <definedName name="fasdasd">{"Final",#N/A,FALSE,"Feb-96"}</definedName>
    <definedName name="fasdasdasd">{"'Directory'!$A$72:$E$91"}</definedName>
    <definedName name="fasdasdf">{"Agg Output",#N/A,FALSE,"Operational Drivers Output";"NW Output",#N/A,FALSE,"Operational Drivers Output";"South Output",#N/A,FALSE,"Operational Drivers Output";"Central Output",#N/A,FALSE,"Operational Drivers Output"}</definedName>
    <definedName name="fasdasdfad">{"'Directory'!$A$72:$E$91"}</definedName>
    <definedName name="fasdasdsdaf">{#N/A,#N/A,TRUE,"Acq-Ass";#N/A,#N/A,TRUE,"Acq-IS";#N/A,#N/A,TRUE,"Acq-BS";#N/A,#N/A,TRUE,"Acq-CF"}</definedName>
    <definedName name="fasddasfd">{#N/A,#N/A,TRUE,"Pivots-Employee";#N/A,"Scenerio2",TRUE,"Assumptions Summary"}</definedName>
    <definedName name="fasdf">{#N/A,#N/A,FALSE,"Acq-Val";#N/A,#N/A,FALSE,"Acq-Mult Val"}</definedName>
    <definedName name="fasdfad">{"'Directory'!$A$72:$E$91"}</definedName>
    <definedName name="fasdfasd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fasdfasdasdf">{"'Directory'!$A$72:$E$91"}</definedName>
    <definedName name="fasdfasdasdfasdf">{#N/A,#N/A,TRUE,"Acq-Ass";#N/A,#N/A,TRUE,"Acq-IS";#N/A,#N/A,TRUE,"Acq-BS";#N/A,#N/A,TRUE,"Acq-CF"}</definedName>
    <definedName name="fasdfasdd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fasdfasdfa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fasdfasf">{"'Directory'!$A$72:$E$91"}</definedName>
    <definedName name="fasdfsda">{#N/A,#N/A,TRUE,"Val - sum";#N/A,#N/A,TRUE,"Val - Sum1";#N/A,#N/A,TRUE,"Val - sum2";#N/A,#N/A,TRUE,"Val - Sum3";#N/A,#N/A,TRUE,"Tar-DCF";#N/A,#N/A,TRUE,"Tar-Val LBO";#N/A,#N/A,TRUE,"Tar-Mult Val"}</definedName>
    <definedName name="fasdsdf">{"Final",#N/A,FALSE,"Feb-96"}</definedName>
    <definedName name="fasfasd">{"histincome",#N/A,FALSE,"hyfins";"closing balance",#N/A,FALSE,"hyfins"}</definedName>
    <definedName name="fatih">{#N/A,#N/A,FALSE,"ACQ_GRAPHS";#N/A,#N/A,FALSE,"T_1 GRAPHS";#N/A,#N/A,FALSE,"T_2 GRAPHS";#N/A,#N/A,FALSE,"COMB_GRAPHS"}</definedName>
    <definedName name="fawe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fbwt">{"Pound Sterling",#N/A,TRUE,"PPD";"Pound Sterling",#N/A,TRUE,"Anaquest";"Pound Sterling",#N/A,TRUE,"Delta";"Pound Sterling",#N/A,TRUE,"INO"}</definedName>
    <definedName name="fd">{#N/A,#N/A,TRUE,"Val - sum";#N/A,#N/A,TRUE,"Val - Sum1";#N/A,#N/A,TRUE,"Val - sum2";#N/A,#N/A,TRUE,"Val - Sum3";#N/A,#N/A,TRUE,"Tar-DCF";#N/A,#N/A,TRUE,"Tar-Val LBO";#N/A,#N/A,TRUE,"Tar-Mult Val"}</definedName>
    <definedName name="fd_1">{"ProjectInput",#N/A,FALSE,"INPUT-AREA"}</definedName>
    <definedName name="fd_2">{"ProjectInput",#N/A,FALSE,"INPUT-AREA"}</definedName>
    <definedName name="fd_3">{"ProjectInput",#N/A,FALSE,"INPUT-AREA"}</definedName>
    <definedName name="fd_4">{"ProjectInput",#N/A,FALSE,"INPUT-AREA"}</definedName>
    <definedName name="fd_5">{"ProjectInput",#N/A,FALSE,"INPUT-AREA"}</definedName>
    <definedName name="fdas">{#N/A,#N/A,TRUE,"Mkt Assumptions";#N/A,#N/A,TRUE,"Income_Statement";#N/A,#N/A,TRUE,"Balance_Sheet";#N/A,#N/A,TRUE,"Cash_Flow_Stmt";#N/A,#N/A,TRUE,"Debt_Repayment";#N/A,#N/A,TRUE,"Ratio_Analysis";#N/A,#N/A,TRUE,"Inc_Stmt_Assumptions"}</definedName>
    <definedName name="fdasa">{#N/A,#N/A,FALSE,"Aging Summary";#N/A,#N/A,FALSE,"Ratio Analysis";#N/A,#N/A,FALSE,"Test 120 Day Accts";#N/A,#N/A,FALSE,"Tickmarks"}</definedName>
    <definedName name="fdasasdf">{#N/A,#N/A,FALSE,"Acq-Val";#N/A,#N/A,FALSE,"Acq-Mult Val"}</definedName>
    <definedName name="fdasfasg">{"'Directory'!$A$72:$E$91"}</definedName>
    <definedName name="fdasfsa">{"Final",#N/A,FALSE,"Feb-96"}</definedName>
    <definedName name="FDC_0_0">"#"</definedName>
    <definedName name="FDC_1_0">"#"</definedName>
    <definedName name="FDC_10_0">"#"</definedName>
    <definedName name="FDC_10_1">"#"</definedName>
    <definedName name="FDC_10_2">"#"</definedName>
    <definedName name="FDC_10_3">"#"</definedName>
    <definedName name="FDC_11_0">"#"</definedName>
    <definedName name="FDC_11_1">"#"</definedName>
    <definedName name="FDC_11_2">"#"</definedName>
    <definedName name="FDC_11_3">"#"</definedName>
    <definedName name="FDC_12_0">"#"</definedName>
    <definedName name="FDC_12_1">"#"</definedName>
    <definedName name="FDC_12_2">"#"</definedName>
    <definedName name="FDC_12_3">"#"</definedName>
    <definedName name="FDC_13_0">"#"</definedName>
    <definedName name="FDC_13_1">"#"</definedName>
    <definedName name="FDC_13_2">"#"</definedName>
    <definedName name="FDC_13_3">"#"</definedName>
    <definedName name="FDC_14_0">"#"</definedName>
    <definedName name="FDC_14_1">"#"</definedName>
    <definedName name="FDC_14_2">"#"</definedName>
    <definedName name="FDC_14_3">"#"</definedName>
    <definedName name="FDC_15_0">"#"</definedName>
    <definedName name="FDC_16_0">"#"</definedName>
    <definedName name="FDC_17_0">"#"</definedName>
    <definedName name="FDC_18_0">"#"</definedName>
    <definedName name="FDC_19_0">"#"</definedName>
    <definedName name="FDC_19_1">"#"</definedName>
    <definedName name="FDC_19_2">"#"</definedName>
    <definedName name="FDC_19_3">"#"</definedName>
    <definedName name="FDC_2_0">"#"</definedName>
    <definedName name="FDC_20_0">"#"</definedName>
    <definedName name="FDC_21_0">"#"</definedName>
    <definedName name="FDC_21_1">"#"</definedName>
    <definedName name="FDC_21_2">"#"</definedName>
    <definedName name="FDC_21_3">"#"</definedName>
    <definedName name="FDC_22_0">"#"</definedName>
    <definedName name="FDC_23_0">"#"</definedName>
    <definedName name="FDC_24_0">"#"</definedName>
    <definedName name="FDC_25_0">"#"</definedName>
    <definedName name="FDC_25_1">"#"</definedName>
    <definedName name="FDC_25_2">"#"</definedName>
    <definedName name="FDC_25_3">"#"</definedName>
    <definedName name="FDC_26_0">"#"</definedName>
    <definedName name="FDC_26_1">"#"</definedName>
    <definedName name="FDC_26_2">"#"</definedName>
    <definedName name="FDC_26_3">"#"</definedName>
    <definedName name="FDC_27_0">"#"</definedName>
    <definedName name="FDC_28_0">"#"</definedName>
    <definedName name="FDC_28_1">"#"</definedName>
    <definedName name="FDC_28_2">"#"</definedName>
    <definedName name="FDC_28_3">"#"</definedName>
    <definedName name="FDC_29_0">"#"</definedName>
    <definedName name="FDC_29_1">"#"</definedName>
    <definedName name="FDC_29_2">"#"</definedName>
    <definedName name="FDC_29_3">"#"</definedName>
    <definedName name="FDC_3_0">"#"</definedName>
    <definedName name="FDC_30_0">"#"</definedName>
    <definedName name="FDC_31_0">"#"</definedName>
    <definedName name="FDC_32_0">"#"</definedName>
    <definedName name="FDC_33_0">"#"</definedName>
    <definedName name="FDC_34_0">"#"</definedName>
    <definedName name="FDC_35_0">"#"</definedName>
    <definedName name="FDC_36_0">"#"</definedName>
    <definedName name="FDC_37_0">"#"</definedName>
    <definedName name="FDC_38_0">"#"</definedName>
    <definedName name="FDC_39_0">"#"</definedName>
    <definedName name="FDC_4_0">"#"</definedName>
    <definedName name="FDC_40_0">"#"</definedName>
    <definedName name="FDC_41_0">"#"</definedName>
    <definedName name="FDC_41_1">"#"</definedName>
    <definedName name="FDC_41_2">"#"</definedName>
    <definedName name="FDC_41_3">"#"</definedName>
    <definedName name="FDC_42_0">"#"</definedName>
    <definedName name="FDC_42_1">"#"</definedName>
    <definedName name="FDC_42_2">"#"</definedName>
    <definedName name="FDC_42_3">"#"</definedName>
    <definedName name="FDC_43_0">"#"</definedName>
    <definedName name="FDC_43_1">"#"</definedName>
    <definedName name="FDC_43_2">"#"</definedName>
    <definedName name="FDC_43_3">"#"</definedName>
    <definedName name="FDC_44_0">"#"</definedName>
    <definedName name="FDC_45_0">"#"</definedName>
    <definedName name="FDC_45_1">"#"</definedName>
    <definedName name="FDC_45_2">"#"</definedName>
    <definedName name="FDC_45_3">"#"</definedName>
    <definedName name="FDC_46_0">"#"</definedName>
    <definedName name="FDC_46_1">"#"</definedName>
    <definedName name="FDC_46_2">"#"</definedName>
    <definedName name="FDC_46_3">"#"</definedName>
    <definedName name="FDC_47_0">"#"</definedName>
    <definedName name="FDC_47_1">"#"</definedName>
    <definedName name="FDC_47_2">"#"</definedName>
    <definedName name="FDC_47_3">"#"</definedName>
    <definedName name="FDC_48_0">"#"</definedName>
    <definedName name="FDC_48_1">"#"</definedName>
    <definedName name="FDC_48_2">"#"</definedName>
    <definedName name="FDC_48_3">"#"</definedName>
    <definedName name="FDC_49_0">"#"</definedName>
    <definedName name="FDC_49_1">"#"</definedName>
    <definedName name="FDC_49_2">"#"</definedName>
    <definedName name="FDC_49_3">"#"</definedName>
    <definedName name="FDC_5_0">"#"</definedName>
    <definedName name="FDC_5_1">"#"</definedName>
    <definedName name="FDC_5_2">"#"</definedName>
    <definedName name="FDC_5_3">"#"</definedName>
    <definedName name="FDC_50_0">"#"</definedName>
    <definedName name="FDC_50_1">"#"</definedName>
    <definedName name="FDC_50_2">"#"</definedName>
    <definedName name="FDC_50_3">"#"</definedName>
    <definedName name="FDC_51_0">"#"</definedName>
    <definedName name="FDC_51_1">"#"</definedName>
    <definedName name="FDC_51_2">"#"</definedName>
    <definedName name="FDC_51_3">"#"</definedName>
    <definedName name="FDC_52_0">"#"</definedName>
    <definedName name="FDC_52_1">"#"</definedName>
    <definedName name="FDC_52_2">"#"</definedName>
    <definedName name="FDC_52_3">"#"</definedName>
    <definedName name="FDC_53_0">"#"</definedName>
    <definedName name="FDC_53_1">"#"</definedName>
    <definedName name="FDC_53_2">"#"</definedName>
    <definedName name="FDC_53_3">"#"</definedName>
    <definedName name="FDC_54_0">"#"</definedName>
    <definedName name="FDC_54_1">"#"</definedName>
    <definedName name="FDC_54_2">"#"</definedName>
    <definedName name="FDC_54_3">"#"</definedName>
    <definedName name="FDC_55_0">"#"</definedName>
    <definedName name="FDC_55_1">"#"</definedName>
    <definedName name="FDC_55_2">"#"</definedName>
    <definedName name="FDC_55_3">"#"</definedName>
    <definedName name="FDC_56_0">"#"</definedName>
    <definedName name="FDC_57_0">"#"</definedName>
    <definedName name="FDC_58_0">"#"</definedName>
    <definedName name="FDC_58_1">"#"</definedName>
    <definedName name="FDC_58_10">"#"</definedName>
    <definedName name="FDC_58_100">"#"</definedName>
    <definedName name="FDC_58_101">"#"</definedName>
    <definedName name="FDC_58_102">"#"</definedName>
    <definedName name="FDC_58_103">"#"</definedName>
    <definedName name="FDC_58_104">"#"</definedName>
    <definedName name="FDC_58_105">"#"</definedName>
    <definedName name="FDC_58_106">"#"</definedName>
    <definedName name="FDC_58_107">"#"</definedName>
    <definedName name="FDC_58_108">"#"</definedName>
    <definedName name="FDC_58_109">"#"</definedName>
    <definedName name="FDC_58_11">"#"</definedName>
    <definedName name="FDC_58_110">"#"</definedName>
    <definedName name="FDC_58_111">"#"</definedName>
    <definedName name="FDC_58_112">"#"</definedName>
    <definedName name="FDC_58_113">"#"</definedName>
    <definedName name="FDC_58_114">"#"</definedName>
    <definedName name="FDC_58_115">"#"</definedName>
    <definedName name="FDC_58_116">"#"</definedName>
    <definedName name="FDC_58_117">"#"</definedName>
    <definedName name="FDC_58_118">"#"</definedName>
    <definedName name="FDC_58_119">"#"</definedName>
    <definedName name="FDC_58_12">"#"</definedName>
    <definedName name="FDC_58_120">"#"</definedName>
    <definedName name="FDC_58_121">"#"</definedName>
    <definedName name="FDC_58_122">"#"</definedName>
    <definedName name="FDC_58_123">"#"</definedName>
    <definedName name="FDC_58_124">"#"</definedName>
    <definedName name="FDC_58_125">"#"</definedName>
    <definedName name="FDC_58_126">"#"</definedName>
    <definedName name="FDC_58_127">"#"</definedName>
    <definedName name="FDC_58_128">"#"</definedName>
    <definedName name="FDC_58_129">"#"</definedName>
    <definedName name="FDC_58_13">"#"</definedName>
    <definedName name="FDC_58_130">"#"</definedName>
    <definedName name="FDC_58_131">"#"</definedName>
    <definedName name="FDC_58_132">"#"</definedName>
    <definedName name="FDC_58_133">"#"</definedName>
    <definedName name="FDC_58_134">"#"</definedName>
    <definedName name="FDC_58_135">"#"</definedName>
    <definedName name="FDC_58_136">"#"</definedName>
    <definedName name="FDC_58_137">"#"</definedName>
    <definedName name="FDC_58_138">"#"</definedName>
    <definedName name="FDC_58_139">"#"</definedName>
    <definedName name="FDC_58_14">"#"</definedName>
    <definedName name="FDC_58_140">"#"</definedName>
    <definedName name="FDC_58_141">"#"</definedName>
    <definedName name="FDC_58_142">"#"</definedName>
    <definedName name="FDC_58_143">"#"</definedName>
    <definedName name="FDC_58_144">"#"</definedName>
    <definedName name="FDC_58_145">"#"</definedName>
    <definedName name="FDC_58_146">"#"</definedName>
    <definedName name="FDC_58_147">"#"</definedName>
    <definedName name="FDC_58_148">"#"</definedName>
    <definedName name="FDC_58_149">"#"</definedName>
    <definedName name="FDC_58_15">"#"</definedName>
    <definedName name="FDC_58_150">"#"</definedName>
    <definedName name="FDC_58_151">"#"</definedName>
    <definedName name="FDC_58_152">"#"</definedName>
    <definedName name="FDC_58_153">"#"</definedName>
    <definedName name="FDC_58_154">"#"</definedName>
    <definedName name="FDC_58_155">"#"</definedName>
    <definedName name="FDC_58_156">"#"</definedName>
    <definedName name="FDC_58_157">"#"</definedName>
    <definedName name="FDC_58_158">"#"</definedName>
    <definedName name="FDC_58_159">"#"</definedName>
    <definedName name="FDC_58_16">"#"</definedName>
    <definedName name="FDC_58_160">"#"</definedName>
    <definedName name="FDC_58_161">"#"</definedName>
    <definedName name="FDC_58_162">"#"</definedName>
    <definedName name="FDC_58_163">"#"</definedName>
    <definedName name="FDC_58_164">"#"</definedName>
    <definedName name="FDC_58_165">"#"</definedName>
    <definedName name="FDC_58_166">"#"</definedName>
    <definedName name="FDC_58_167">"#"</definedName>
    <definedName name="FDC_58_168">"#"</definedName>
    <definedName name="FDC_58_169">"#"</definedName>
    <definedName name="FDC_58_17">"#"</definedName>
    <definedName name="FDC_58_170">"#"</definedName>
    <definedName name="FDC_58_171">"#"</definedName>
    <definedName name="FDC_58_172">"#"</definedName>
    <definedName name="FDC_58_173">"#"</definedName>
    <definedName name="FDC_58_174">"#"</definedName>
    <definedName name="FDC_58_175">"#"</definedName>
    <definedName name="FDC_58_176">"#"</definedName>
    <definedName name="FDC_58_177">"#"</definedName>
    <definedName name="FDC_58_178">"#"</definedName>
    <definedName name="FDC_58_179">"#"</definedName>
    <definedName name="FDC_58_18">"#"</definedName>
    <definedName name="FDC_58_180">"#"</definedName>
    <definedName name="FDC_58_181">"#"</definedName>
    <definedName name="FDC_58_182">"#"</definedName>
    <definedName name="FDC_58_183">"#"</definedName>
    <definedName name="FDC_58_184">"#"</definedName>
    <definedName name="FDC_58_185">"#"</definedName>
    <definedName name="FDC_58_186">"#"</definedName>
    <definedName name="FDC_58_187">"#"</definedName>
    <definedName name="FDC_58_188">"#"</definedName>
    <definedName name="FDC_58_189">"#"</definedName>
    <definedName name="FDC_58_19">"#"</definedName>
    <definedName name="FDC_58_190">"#"</definedName>
    <definedName name="FDC_58_191">"#"</definedName>
    <definedName name="FDC_58_192">"#"</definedName>
    <definedName name="FDC_58_193">"#"</definedName>
    <definedName name="FDC_58_194">"#"</definedName>
    <definedName name="FDC_58_195">"#"</definedName>
    <definedName name="FDC_58_196">"#"</definedName>
    <definedName name="FDC_58_197">"#"</definedName>
    <definedName name="FDC_58_198">"#"</definedName>
    <definedName name="FDC_58_199">"#"</definedName>
    <definedName name="FDC_58_2">"#"</definedName>
    <definedName name="FDC_58_20">"#"</definedName>
    <definedName name="FDC_58_200">"#"</definedName>
    <definedName name="FDC_58_201">"#"</definedName>
    <definedName name="FDC_58_202">"#"</definedName>
    <definedName name="FDC_58_203">"#"</definedName>
    <definedName name="FDC_58_204">"#"</definedName>
    <definedName name="FDC_58_205">"#"</definedName>
    <definedName name="FDC_58_206">"#"</definedName>
    <definedName name="FDC_58_207">"#"</definedName>
    <definedName name="FDC_58_208">"#"</definedName>
    <definedName name="FDC_58_209">"#"</definedName>
    <definedName name="FDC_58_21">"#"</definedName>
    <definedName name="FDC_58_210">"#"</definedName>
    <definedName name="FDC_58_211">"#"</definedName>
    <definedName name="FDC_58_212">"#"</definedName>
    <definedName name="FDC_58_213">"#"</definedName>
    <definedName name="FDC_58_214">"#"</definedName>
    <definedName name="FDC_58_215">"#"</definedName>
    <definedName name="FDC_58_216">"#"</definedName>
    <definedName name="FDC_58_217">"#"</definedName>
    <definedName name="FDC_58_218">"#"</definedName>
    <definedName name="FDC_58_219">"#"</definedName>
    <definedName name="FDC_58_22">"#"</definedName>
    <definedName name="FDC_58_220">"#"</definedName>
    <definedName name="FDC_58_221">"#"</definedName>
    <definedName name="FDC_58_222">"#"</definedName>
    <definedName name="FDC_58_223">"#"</definedName>
    <definedName name="FDC_58_224">"#"</definedName>
    <definedName name="FDC_58_225">"#"</definedName>
    <definedName name="FDC_58_226">"#"</definedName>
    <definedName name="FDC_58_227">"#"</definedName>
    <definedName name="FDC_58_228">"#"</definedName>
    <definedName name="FDC_58_229">"#"</definedName>
    <definedName name="FDC_58_23">"#"</definedName>
    <definedName name="FDC_58_230">"#"</definedName>
    <definedName name="FDC_58_231">"#"</definedName>
    <definedName name="FDC_58_232">"#"</definedName>
    <definedName name="FDC_58_233">"#"</definedName>
    <definedName name="FDC_58_234">"#"</definedName>
    <definedName name="FDC_58_235">"#"</definedName>
    <definedName name="FDC_58_236">"#"</definedName>
    <definedName name="FDC_58_237">"#"</definedName>
    <definedName name="FDC_58_238">"#"</definedName>
    <definedName name="FDC_58_239">"#"</definedName>
    <definedName name="FDC_58_24">"#"</definedName>
    <definedName name="FDC_58_240">"#"</definedName>
    <definedName name="FDC_58_241">"#"</definedName>
    <definedName name="FDC_58_242">"#"</definedName>
    <definedName name="FDC_58_243">"#"</definedName>
    <definedName name="FDC_58_244">"#"</definedName>
    <definedName name="FDC_58_245">"#"</definedName>
    <definedName name="FDC_58_246">"#"</definedName>
    <definedName name="FDC_58_247">"#"</definedName>
    <definedName name="FDC_58_248">"#"</definedName>
    <definedName name="FDC_58_249">"#"</definedName>
    <definedName name="FDC_58_25">"#"</definedName>
    <definedName name="FDC_58_250">"#"</definedName>
    <definedName name="FDC_58_251">"#"</definedName>
    <definedName name="FDC_58_252">"#"</definedName>
    <definedName name="FDC_58_253">"#"</definedName>
    <definedName name="FDC_58_254">"#"</definedName>
    <definedName name="FDC_58_255">"#"</definedName>
    <definedName name="FDC_58_256">"#"</definedName>
    <definedName name="FDC_58_257">"#"</definedName>
    <definedName name="FDC_58_258">"#"</definedName>
    <definedName name="FDC_58_259">"#"</definedName>
    <definedName name="FDC_58_26">"#"</definedName>
    <definedName name="FDC_58_260">"#"</definedName>
    <definedName name="FDC_58_261">"#"</definedName>
    <definedName name="FDC_58_27">"#"</definedName>
    <definedName name="FDC_58_28">"#"</definedName>
    <definedName name="FDC_58_29">"#"</definedName>
    <definedName name="FDC_58_3">"#"</definedName>
    <definedName name="FDC_58_30">"#"</definedName>
    <definedName name="FDC_58_31">"#"</definedName>
    <definedName name="FDC_58_32">"#"</definedName>
    <definedName name="FDC_58_33">"#"</definedName>
    <definedName name="FDC_58_34">"#"</definedName>
    <definedName name="FDC_58_35">"#"</definedName>
    <definedName name="FDC_58_36">"#"</definedName>
    <definedName name="FDC_58_37">"#"</definedName>
    <definedName name="FDC_58_38">"#"</definedName>
    <definedName name="FDC_58_39">"#"</definedName>
    <definedName name="FDC_58_4">"#"</definedName>
    <definedName name="FDC_58_40">"#"</definedName>
    <definedName name="FDC_58_41">"#"</definedName>
    <definedName name="FDC_58_42">"#"</definedName>
    <definedName name="FDC_58_43">"#"</definedName>
    <definedName name="FDC_58_44">"#"</definedName>
    <definedName name="FDC_58_45">"#"</definedName>
    <definedName name="FDC_58_46">"#"</definedName>
    <definedName name="FDC_58_47">"#"</definedName>
    <definedName name="FDC_58_48">"#"</definedName>
    <definedName name="FDC_58_49">"#"</definedName>
    <definedName name="FDC_58_5">"#"</definedName>
    <definedName name="FDC_58_50">"#"</definedName>
    <definedName name="FDC_58_51">"#"</definedName>
    <definedName name="FDC_58_52">"#"</definedName>
    <definedName name="FDC_58_53">"#"</definedName>
    <definedName name="FDC_58_54">"#"</definedName>
    <definedName name="FDC_58_55">"#"</definedName>
    <definedName name="FDC_58_56">"#"</definedName>
    <definedName name="FDC_58_57">"#"</definedName>
    <definedName name="FDC_58_58">"#"</definedName>
    <definedName name="FDC_58_59">"#"</definedName>
    <definedName name="FDC_58_6">"#"</definedName>
    <definedName name="FDC_58_60">"#"</definedName>
    <definedName name="FDC_58_61">"#"</definedName>
    <definedName name="FDC_58_62">"#"</definedName>
    <definedName name="FDC_58_63">"#"</definedName>
    <definedName name="FDC_58_64">"#"</definedName>
    <definedName name="FDC_58_65">"#"</definedName>
    <definedName name="FDC_58_66">"#"</definedName>
    <definedName name="FDC_58_67">"#"</definedName>
    <definedName name="FDC_58_68">"#"</definedName>
    <definedName name="FDC_58_69">"#"</definedName>
    <definedName name="FDC_58_7">"#"</definedName>
    <definedName name="FDC_58_70">"#"</definedName>
    <definedName name="FDC_58_71">"#"</definedName>
    <definedName name="FDC_58_72">"#"</definedName>
    <definedName name="FDC_58_73">"#"</definedName>
    <definedName name="FDC_58_74">"#"</definedName>
    <definedName name="FDC_58_75">"#"</definedName>
    <definedName name="FDC_58_76">"#"</definedName>
    <definedName name="FDC_58_77">"#"</definedName>
    <definedName name="FDC_58_78">"#"</definedName>
    <definedName name="FDC_58_79">"#"</definedName>
    <definedName name="FDC_58_8">"#"</definedName>
    <definedName name="FDC_58_80">"#"</definedName>
    <definedName name="FDC_58_81">"#"</definedName>
    <definedName name="FDC_58_82">"#"</definedName>
    <definedName name="FDC_58_83">"#"</definedName>
    <definedName name="FDC_58_84">"#"</definedName>
    <definedName name="FDC_58_85">"#"</definedName>
    <definedName name="FDC_58_86">"#"</definedName>
    <definedName name="FDC_58_87">"#"</definedName>
    <definedName name="FDC_58_88">"#"</definedName>
    <definedName name="FDC_58_89">"#"</definedName>
    <definedName name="FDC_58_9">"#"</definedName>
    <definedName name="FDC_58_90">"#"</definedName>
    <definedName name="FDC_58_91">"#"</definedName>
    <definedName name="FDC_58_92">"#"</definedName>
    <definedName name="FDC_58_93">"#"</definedName>
    <definedName name="FDC_58_94">"#"</definedName>
    <definedName name="FDC_58_95">"#"</definedName>
    <definedName name="FDC_58_96">"#"</definedName>
    <definedName name="FDC_58_97">"#"</definedName>
    <definedName name="FDC_58_98">"#"</definedName>
    <definedName name="FDC_58_99">"#"</definedName>
    <definedName name="FDC_59_0">"#"</definedName>
    <definedName name="FDC_59_1">"#"</definedName>
    <definedName name="FDC_59_10">"#"</definedName>
    <definedName name="FDC_59_100">"#"</definedName>
    <definedName name="FDC_59_101">"#"</definedName>
    <definedName name="FDC_59_102">"#"</definedName>
    <definedName name="FDC_59_103">"#"</definedName>
    <definedName name="FDC_59_104">"#"</definedName>
    <definedName name="FDC_59_105">"#"</definedName>
    <definedName name="FDC_59_106">"#"</definedName>
    <definedName name="FDC_59_107">"#"</definedName>
    <definedName name="FDC_59_108">"#"</definedName>
    <definedName name="FDC_59_109">"#"</definedName>
    <definedName name="FDC_59_11">"#"</definedName>
    <definedName name="FDC_59_110">"#"</definedName>
    <definedName name="FDC_59_111">"#"</definedName>
    <definedName name="FDC_59_112">"#"</definedName>
    <definedName name="FDC_59_113">"#"</definedName>
    <definedName name="FDC_59_114">"#"</definedName>
    <definedName name="FDC_59_115">"#"</definedName>
    <definedName name="FDC_59_116">"#"</definedName>
    <definedName name="FDC_59_117">"#"</definedName>
    <definedName name="FDC_59_118">"#"</definedName>
    <definedName name="FDC_59_119">"#"</definedName>
    <definedName name="FDC_59_12">"#"</definedName>
    <definedName name="FDC_59_120">"#"</definedName>
    <definedName name="FDC_59_121">"#"</definedName>
    <definedName name="FDC_59_122">"#"</definedName>
    <definedName name="FDC_59_123">"#"</definedName>
    <definedName name="FDC_59_124">"#"</definedName>
    <definedName name="FDC_59_125">"#"</definedName>
    <definedName name="FDC_59_126">"#"</definedName>
    <definedName name="FDC_59_127">"#"</definedName>
    <definedName name="FDC_59_128">"#"</definedName>
    <definedName name="FDC_59_129">"#"</definedName>
    <definedName name="FDC_59_13">"#"</definedName>
    <definedName name="FDC_59_130">"#"</definedName>
    <definedName name="FDC_59_131">"#"</definedName>
    <definedName name="FDC_59_132">"#"</definedName>
    <definedName name="FDC_59_133">"#"</definedName>
    <definedName name="FDC_59_134">"#"</definedName>
    <definedName name="FDC_59_135">"#"</definedName>
    <definedName name="FDC_59_136">"#"</definedName>
    <definedName name="FDC_59_137">"#"</definedName>
    <definedName name="FDC_59_138">"#"</definedName>
    <definedName name="FDC_59_139">"#"</definedName>
    <definedName name="FDC_59_14">"#"</definedName>
    <definedName name="FDC_59_140">"#"</definedName>
    <definedName name="FDC_59_141">"#"</definedName>
    <definedName name="FDC_59_142">"#"</definedName>
    <definedName name="FDC_59_143">"#"</definedName>
    <definedName name="FDC_59_144">"#"</definedName>
    <definedName name="FDC_59_145">"#"</definedName>
    <definedName name="FDC_59_146">"#"</definedName>
    <definedName name="FDC_59_147">"#"</definedName>
    <definedName name="FDC_59_148">"#"</definedName>
    <definedName name="FDC_59_149">"#"</definedName>
    <definedName name="FDC_59_15">"#"</definedName>
    <definedName name="FDC_59_150">"#"</definedName>
    <definedName name="FDC_59_151">"#"</definedName>
    <definedName name="FDC_59_152">"#"</definedName>
    <definedName name="FDC_59_153">"#"</definedName>
    <definedName name="FDC_59_154">"#"</definedName>
    <definedName name="FDC_59_155">"#"</definedName>
    <definedName name="FDC_59_156">"#"</definedName>
    <definedName name="FDC_59_157">"#"</definedName>
    <definedName name="FDC_59_158">"#"</definedName>
    <definedName name="FDC_59_159">"#"</definedName>
    <definedName name="FDC_59_16">"#"</definedName>
    <definedName name="FDC_59_160">"#"</definedName>
    <definedName name="FDC_59_161">"#"</definedName>
    <definedName name="FDC_59_162">"#"</definedName>
    <definedName name="FDC_59_163">"#"</definedName>
    <definedName name="FDC_59_164">"#"</definedName>
    <definedName name="FDC_59_165">"#"</definedName>
    <definedName name="FDC_59_166">"#"</definedName>
    <definedName name="FDC_59_167">"#"</definedName>
    <definedName name="FDC_59_168">"#"</definedName>
    <definedName name="FDC_59_169">"#"</definedName>
    <definedName name="FDC_59_17">"#"</definedName>
    <definedName name="FDC_59_170">"#"</definedName>
    <definedName name="FDC_59_171">"#"</definedName>
    <definedName name="FDC_59_172">"#"</definedName>
    <definedName name="FDC_59_173">"#"</definedName>
    <definedName name="FDC_59_174">"#"</definedName>
    <definedName name="FDC_59_175">"#"</definedName>
    <definedName name="FDC_59_176">"#"</definedName>
    <definedName name="FDC_59_177">"#"</definedName>
    <definedName name="FDC_59_178">"#"</definedName>
    <definedName name="FDC_59_179">"#"</definedName>
    <definedName name="FDC_59_18">"#"</definedName>
    <definedName name="FDC_59_180">"#"</definedName>
    <definedName name="FDC_59_181">"#"</definedName>
    <definedName name="FDC_59_182">"#"</definedName>
    <definedName name="FDC_59_183">"#"</definedName>
    <definedName name="FDC_59_184">"#"</definedName>
    <definedName name="FDC_59_185">"#"</definedName>
    <definedName name="FDC_59_186">"#"</definedName>
    <definedName name="FDC_59_187">"#"</definedName>
    <definedName name="FDC_59_188">"#"</definedName>
    <definedName name="FDC_59_189">"#"</definedName>
    <definedName name="FDC_59_19">"#"</definedName>
    <definedName name="FDC_59_190">"#"</definedName>
    <definedName name="FDC_59_191">"#"</definedName>
    <definedName name="FDC_59_192">"#"</definedName>
    <definedName name="FDC_59_193">"#"</definedName>
    <definedName name="FDC_59_194">"#"</definedName>
    <definedName name="FDC_59_195">"#"</definedName>
    <definedName name="FDC_59_196">"#"</definedName>
    <definedName name="FDC_59_197">"#"</definedName>
    <definedName name="FDC_59_198">"#"</definedName>
    <definedName name="FDC_59_199">"#"</definedName>
    <definedName name="FDC_59_2">"#"</definedName>
    <definedName name="FDC_59_20">"#"</definedName>
    <definedName name="FDC_59_200">"#"</definedName>
    <definedName name="FDC_59_201">"#"</definedName>
    <definedName name="FDC_59_202">"#"</definedName>
    <definedName name="FDC_59_203">"#"</definedName>
    <definedName name="FDC_59_204">"#"</definedName>
    <definedName name="FDC_59_205">"#"</definedName>
    <definedName name="FDC_59_206">"#"</definedName>
    <definedName name="FDC_59_207">"#"</definedName>
    <definedName name="FDC_59_208">"#"</definedName>
    <definedName name="FDC_59_209">"#"</definedName>
    <definedName name="FDC_59_21">"#"</definedName>
    <definedName name="FDC_59_210">"#"</definedName>
    <definedName name="FDC_59_211">"#"</definedName>
    <definedName name="FDC_59_212">"#"</definedName>
    <definedName name="FDC_59_213">"#"</definedName>
    <definedName name="FDC_59_214">"#"</definedName>
    <definedName name="FDC_59_215">"#"</definedName>
    <definedName name="FDC_59_216">"#"</definedName>
    <definedName name="FDC_59_217">"#"</definedName>
    <definedName name="FDC_59_218">"#"</definedName>
    <definedName name="FDC_59_219">"#"</definedName>
    <definedName name="FDC_59_22">"#"</definedName>
    <definedName name="FDC_59_220">"#"</definedName>
    <definedName name="FDC_59_221">"#"</definedName>
    <definedName name="FDC_59_222">"#"</definedName>
    <definedName name="FDC_59_223">"#"</definedName>
    <definedName name="FDC_59_224">"#"</definedName>
    <definedName name="FDC_59_225">"#"</definedName>
    <definedName name="FDC_59_226">"#"</definedName>
    <definedName name="FDC_59_227">"#"</definedName>
    <definedName name="FDC_59_228">"#"</definedName>
    <definedName name="FDC_59_229">"#"</definedName>
    <definedName name="FDC_59_23">"#"</definedName>
    <definedName name="FDC_59_230">"#"</definedName>
    <definedName name="FDC_59_231">"#"</definedName>
    <definedName name="FDC_59_232">"#"</definedName>
    <definedName name="FDC_59_233">"#"</definedName>
    <definedName name="FDC_59_234">"#"</definedName>
    <definedName name="FDC_59_235">"#"</definedName>
    <definedName name="FDC_59_236">"#"</definedName>
    <definedName name="FDC_59_237">"#"</definedName>
    <definedName name="FDC_59_238">"#"</definedName>
    <definedName name="FDC_59_239">"#"</definedName>
    <definedName name="FDC_59_24">"#"</definedName>
    <definedName name="FDC_59_240">"#"</definedName>
    <definedName name="FDC_59_241">"#"</definedName>
    <definedName name="FDC_59_242">"#"</definedName>
    <definedName name="FDC_59_243">"#"</definedName>
    <definedName name="FDC_59_244">"#"</definedName>
    <definedName name="FDC_59_245">"#"</definedName>
    <definedName name="FDC_59_246">"#"</definedName>
    <definedName name="FDC_59_247">"#"</definedName>
    <definedName name="FDC_59_248">"#"</definedName>
    <definedName name="FDC_59_249">"#"</definedName>
    <definedName name="FDC_59_25">"#"</definedName>
    <definedName name="FDC_59_250">"#"</definedName>
    <definedName name="FDC_59_251">"#"</definedName>
    <definedName name="FDC_59_252">"#"</definedName>
    <definedName name="FDC_59_253">"#"</definedName>
    <definedName name="FDC_59_254">"#"</definedName>
    <definedName name="FDC_59_255">"#"</definedName>
    <definedName name="FDC_59_256">"#"</definedName>
    <definedName name="FDC_59_257">"#"</definedName>
    <definedName name="FDC_59_258">"#"</definedName>
    <definedName name="FDC_59_259">"#"</definedName>
    <definedName name="FDC_59_26">"#"</definedName>
    <definedName name="FDC_59_260">"#"</definedName>
    <definedName name="FDC_59_261">"#"</definedName>
    <definedName name="FDC_59_27">"#"</definedName>
    <definedName name="FDC_59_28">"#"</definedName>
    <definedName name="FDC_59_29">"#"</definedName>
    <definedName name="FDC_59_3">"#"</definedName>
    <definedName name="FDC_59_30">"#"</definedName>
    <definedName name="FDC_59_31">"#"</definedName>
    <definedName name="FDC_59_32">"#"</definedName>
    <definedName name="FDC_59_33">"#"</definedName>
    <definedName name="FDC_59_34">"#"</definedName>
    <definedName name="FDC_59_35">"#"</definedName>
    <definedName name="FDC_59_36">"#"</definedName>
    <definedName name="FDC_59_37">"#"</definedName>
    <definedName name="FDC_59_38">"#"</definedName>
    <definedName name="FDC_59_39">"#"</definedName>
    <definedName name="FDC_59_4">"#"</definedName>
    <definedName name="FDC_59_40">"#"</definedName>
    <definedName name="FDC_59_41">"#"</definedName>
    <definedName name="FDC_59_42">"#"</definedName>
    <definedName name="FDC_59_43">"#"</definedName>
    <definedName name="FDC_59_44">"#"</definedName>
    <definedName name="FDC_59_45">"#"</definedName>
    <definedName name="FDC_59_46">"#"</definedName>
    <definedName name="FDC_59_47">"#"</definedName>
    <definedName name="FDC_59_48">"#"</definedName>
    <definedName name="FDC_59_49">"#"</definedName>
    <definedName name="FDC_59_5">"#"</definedName>
    <definedName name="FDC_59_50">"#"</definedName>
    <definedName name="FDC_59_51">"#"</definedName>
    <definedName name="FDC_59_52">"#"</definedName>
    <definedName name="FDC_59_53">"#"</definedName>
    <definedName name="FDC_59_54">"#"</definedName>
    <definedName name="FDC_59_55">"#"</definedName>
    <definedName name="FDC_59_56">"#"</definedName>
    <definedName name="FDC_59_57">"#"</definedName>
    <definedName name="FDC_59_58">"#"</definedName>
    <definedName name="FDC_59_59">"#"</definedName>
    <definedName name="FDC_59_6">"#"</definedName>
    <definedName name="FDC_59_60">"#"</definedName>
    <definedName name="FDC_59_61">"#"</definedName>
    <definedName name="FDC_59_62">"#"</definedName>
    <definedName name="FDC_59_63">"#"</definedName>
    <definedName name="FDC_59_64">"#"</definedName>
    <definedName name="FDC_59_65">"#"</definedName>
    <definedName name="FDC_59_66">"#"</definedName>
    <definedName name="FDC_59_67">"#"</definedName>
    <definedName name="FDC_59_68">"#"</definedName>
    <definedName name="FDC_59_69">"#"</definedName>
    <definedName name="FDC_59_7">"#"</definedName>
    <definedName name="FDC_59_70">"#"</definedName>
    <definedName name="FDC_59_71">"#"</definedName>
    <definedName name="FDC_59_72">"#"</definedName>
    <definedName name="FDC_59_73">"#"</definedName>
    <definedName name="FDC_59_74">"#"</definedName>
    <definedName name="FDC_59_75">"#"</definedName>
    <definedName name="FDC_59_76">"#"</definedName>
    <definedName name="FDC_59_77">"#"</definedName>
    <definedName name="FDC_59_78">"#"</definedName>
    <definedName name="FDC_59_79">"#"</definedName>
    <definedName name="FDC_59_8">"#"</definedName>
    <definedName name="FDC_59_80">"#"</definedName>
    <definedName name="FDC_59_81">"#"</definedName>
    <definedName name="FDC_59_82">"#"</definedName>
    <definedName name="FDC_59_83">"#"</definedName>
    <definedName name="FDC_59_84">"#"</definedName>
    <definedName name="FDC_59_85">"#"</definedName>
    <definedName name="FDC_59_86">"#"</definedName>
    <definedName name="FDC_59_87">"#"</definedName>
    <definedName name="FDC_59_88">"#"</definedName>
    <definedName name="FDC_59_89">"#"</definedName>
    <definedName name="FDC_59_9">"#"</definedName>
    <definedName name="FDC_59_90">"#"</definedName>
    <definedName name="FDC_59_91">"#"</definedName>
    <definedName name="FDC_59_92">"#"</definedName>
    <definedName name="FDC_59_93">"#"</definedName>
    <definedName name="FDC_59_94">"#"</definedName>
    <definedName name="FDC_59_95">"#"</definedName>
    <definedName name="FDC_59_96">"#"</definedName>
    <definedName name="FDC_59_97">"#"</definedName>
    <definedName name="FDC_59_98">"#"</definedName>
    <definedName name="FDC_59_99">"#"</definedName>
    <definedName name="FDC_6_0">"#"</definedName>
    <definedName name="FDC_6_1">"#"</definedName>
    <definedName name="FDC_6_2">"#"</definedName>
    <definedName name="FDC_6_3">"#"</definedName>
    <definedName name="FDC_60_0">"#"</definedName>
    <definedName name="FDC_60_1">"#"</definedName>
    <definedName name="FDC_60_10">"#"</definedName>
    <definedName name="FDC_60_100">"#"</definedName>
    <definedName name="FDC_60_101">"#"</definedName>
    <definedName name="FDC_60_102">"#"</definedName>
    <definedName name="FDC_60_103">"#"</definedName>
    <definedName name="FDC_60_104">"#"</definedName>
    <definedName name="FDC_60_105">"#"</definedName>
    <definedName name="FDC_60_106">"#"</definedName>
    <definedName name="FDC_60_107">"#"</definedName>
    <definedName name="FDC_60_108">"#"</definedName>
    <definedName name="FDC_60_109">"#"</definedName>
    <definedName name="FDC_60_11">"#"</definedName>
    <definedName name="FDC_60_110">"#"</definedName>
    <definedName name="FDC_60_111">"#"</definedName>
    <definedName name="FDC_60_112">"#"</definedName>
    <definedName name="FDC_60_113">"#"</definedName>
    <definedName name="FDC_60_114">"#"</definedName>
    <definedName name="FDC_60_115">"#"</definedName>
    <definedName name="FDC_60_116">"#"</definedName>
    <definedName name="FDC_60_117">"#"</definedName>
    <definedName name="FDC_60_118">"#"</definedName>
    <definedName name="FDC_60_119">"#"</definedName>
    <definedName name="FDC_60_12">"#"</definedName>
    <definedName name="FDC_60_120">"#"</definedName>
    <definedName name="FDC_60_121">"#"</definedName>
    <definedName name="FDC_60_122">"#"</definedName>
    <definedName name="FDC_60_123">"#"</definedName>
    <definedName name="FDC_60_124">"#"</definedName>
    <definedName name="FDC_60_125">"#"</definedName>
    <definedName name="FDC_60_126">"#"</definedName>
    <definedName name="FDC_60_127">"#"</definedName>
    <definedName name="FDC_60_128">"#"</definedName>
    <definedName name="FDC_60_129">"#"</definedName>
    <definedName name="FDC_60_13">"#"</definedName>
    <definedName name="FDC_60_130">"#"</definedName>
    <definedName name="FDC_60_131">"#"</definedName>
    <definedName name="FDC_60_132">"#"</definedName>
    <definedName name="FDC_60_133">"#"</definedName>
    <definedName name="FDC_60_134">"#"</definedName>
    <definedName name="FDC_60_135">"#"</definedName>
    <definedName name="FDC_60_136">"#"</definedName>
    <definedName name="FDC_60_137">"#"</definedName>
    <definedName name="FDC_60_138">"#"</definedName>
    <definedName name="FDC_60_139">"#"</definedName>
    <definedName name="FDC_60_14">"#"</definedName>
    <definedName name="FDC_60_140">"#"</definedName>
    <definedName name="FDC_60_141">"#"</definedName>
    <definedName name="FDC_60_142">"#"</definedName>
    <definedName name="FDC_60_143">"#"</definedName>
    <definedName name="FDC_60_144">"#"</definedName>
    <definedName name="FDC_60_145">"#"</definedName>
    <definedName name="FDC_60_146">"#"</definedName>
    <definedName name="FDC_60_147">"#"</definedName>
    <definedName name="FDC_60_148">"#"</definedName>
    <definedName name="FDC_60_149">"#"</definedName>
    <definedName name="FDC_60_15">"#"</definedName>
    <definedName name="FDC_60_150">"#"</definedName>
    <definedName name="FDC_60_151">"#"</definedName>
    <definedName name="FDC_60_152">"#"</definedName>
    <definedName name="FDC_60_153">"#"</definedName>
    <definedName name="FDC_60_154">"#"</definedName>
    <definedName name="FDC_60_155">"#"</definedName>
    <definedName name="FDC_60_156">"#"</definedName>
    <definedName name="FDC_60_157">"#"</definedName>
    <definedName name="FDC_60_158">"#"</definedName>
    <definedName name="FDC_60_159">"#"</definedName>
    <definedName name="FDC_60_16">"#"</definedName>
    <definedName name="FDC_60_160">"#"</definedName>
    <definedName name="FDC_60_161">"#"</definedName>
    <definedName name="FDC_60_162">"#"</definedName>
    <definedName name="FDC_60_163">"#"</definedName>
    <definedName name="FDC_60_164">"#"</definedName>
    <definedName name="FDC_60_165">"#"</definedName>
    <definedName name="FDC_60_166">"#"</definedName>
    <definedName name="FDC_60_167">"#"</definedName>
    <definedName name="FDC_60_168">"#"</definedName>
    <definedName name="FDC_60_169">"#"</definedName>
    <definedName name="FDC_60_17">"#"</definedName>
    <definedName name="FDC_60_170">"#"</definedName>
    <definedName name="FDC_60_171">"#"</definedName>
    <definedName name="FDC_60_172">"#"</definedName>
    <definedName name="FDC_60_173">"#"</definedName>
    <definedName name="FDC_60_174">"#"</definedName>
    <definedName name="FDC_60_175">"#"</definedName>
    <definedName name="FDC_60_176">"#"</definedName>
    <definedName name="FDC_60_177">"#"</definedName>
    <definedName name="FDC_60_178">"#"</definedName>
    <definedName name="FDC_60_179">"#"</definedName>
    <definedName name="FDC_60_18">"#"</definedName>
    <definedName name="FDC_60_180">"#"</definedName>
    <definedName name="FDC_60_181">"#"</definedName>
    <definedName name="FDC_60_182">"#"</definedName>
    <definedName name="FDC_60_183">"#"</definedName>
    <definedName name="FDC_60_184">"#"</definedName>
    <definedName name="FDC_60_185">"#"</definedName>
    <definedName name="FDC_60_186">"#"</definedName>
    <definedName name="FDC_60_187">"#"</definedName>
    <definedName name="FDC_60_188">"#"</definedName>
    <definedName name="FDC_60_189">"#"</definedName>
    <definedName name="FDC_60_19">"#"</definedName>
    <definedName name="FDC_60_190">"#"</definedName>
    <definedName name="FDC_60_191">"#"</definedName>
    <definedName name="FDC_60_192">"#"</definedName>
    <definedName name="FDC_60_193">"#"</definedName>
    <definedName name="FDC_60_194">"#"</definedName>
    <definedName name="FDC_60_195">"#"</definedName>
    <definedName name="FDC_60_196">"#"</definedName>
    <definedName name="FDC_60_197">"#"</definedName>
    <definedName name="FDC_60_198">"#"</definedName>
    <definedName name="FDC_60_199">"#"</definedName>
    <definedName name="FDC_60_2">"#"</definedName>
    <definedName name="FDC_60_20">"#"</definedName>
    <definedName name="FDC_60_200">"#"</definedName>
    <definedName name="FDC_60_201">"#"</definedName>
    <definedName name="FDC_60_202">"#"</definedName>
    <definedName name="FDC_60_203">"#"</definedName>
    <definedName name="FDC_60_204">"#"</definedName>
    <definedName name="FDC_60_205">"#"</definedName>
    <definedName name="FDC_60_206">"#"</definedName>
    <definedName name="FDC_60_207">"#"</definedName>
    <definedName name="FDC_60_208">"#"</definedName>
    <definedName name="FDC_60_209">"#"</definedName>
    <definedName name="FDC_60_21">"#"</definedName>
    <definedName name="FDC_60_210">"#"</definedName>
    <definedName name="FDC_60_211">"#"</definedName>
    <definedName name="FDC_60_212">"#"</definedName>
    <definedName name="FDC_60_213">"#"</definedName>
    <definedName name="FDC_60_214">"#"</definedName>
    <definedName name="FDC_60_215">"#"</definedName>
    <definedName name="FDC_60_216">"#"</definedName>
    <definedName name="FDC_60_217">"#"</definedName>
    <definedName name="FDC_60_218">"#"</definedName>
    <definedName name="FDC_60_219">"#"</definedName>
    <definedName name="FDC_60_22">"#"</definedName>
    <definedName name="FDC_60_220">"#"</definedName>
    <definedName name="FDC_60_221">"#"</definedName>
    <definedName name="FDC_60_222">"#"</definedName>
    <definedName name="FDC_60_223">"#"</definedName>
    <definedName name="FDC_60_224">"#"</definedName>
    <definedName name="FDC_60_225">"#"</definedName>
    <definedName name="FDC_60_226">"#"</definedName>
    <definedName name="FDC_60_227">"#"</definedName>
    <definedName name="FDC_60_228">"#"</definedName>
    <definedName name="FDC_60_229">"#"</definedName>
    <definedName name="FDC_60_23">"#"</definedName>
    <definedName name="FDC_60_230">"#"</definedName>
    <definedName name="FDC_60_231">"#"</definedName>
    <definedName name="FDC_60_232">"#"</definedName>
    <definedName name="FDC_60_233">"#"</definedName>
    <definedName name="FDC_60_234">"#"</definedName>
    <definedName name="FDC_60_235">"#"</definedName>
    <definedName name="FDC_60_236">"#"</definedName>
    <definedName name="FDC_60_237">"#"</definedName>
    <definedName name="FDC_60_238">"#"</definedName>
    <definedName name="FDC_60_239">"#"</definedName>
    <definedName name="FDC_60_24">"#"</definedName>
    <definedName name="FDC_60_240">"#"</definedName>
    <definedName name="FDC_60_241">"#"</definedName>
    <definedName name="FDC_60_242">"#"</definedName>
    <definedName name="FDC_60_243">"#"</definedName>
    <definedName name="FDC_60_244">"#"</definedName>
    <definedName name="FDC_60_245">"#"</definedName>
    <definedName name="FDC_60_246">"#"</definedName>
    <definedName name="FDC_60_247">"#"</definedName>
    <definedName name="FDC_60_248">"#"</definedName>
    <definedName name="FDC_60_249">"#"</definedName>
    <definedName name="FDC_60_25">"#"</definedName>
    <definedName name="FDC_60_250">"#"</definedName>
    <definedName name="FDC_60_251">"#"</definedName>
    <definedName name="FDC_60_252">"#"</definedName>
    <definedName name="FDC_60_253">"#"</definedName>
    <definedName name="FDC_60_254">"#"</definedName>
    <definedName name="FDC_60_255">"#"</definedName>
    <definedName name="FDC_60_256">"#"</definedName>
    <definedName name="FDC_60_257">"#"</definedName>
    <definedName name="FDC_60_258">"#"</definedName>
    <definedName name="FDC_60_259">"#"</definedName>
    <definedName name="FDC_60_26">"#"</definedName>
    <definedName name="FDC_60_260">"#"</definedName>
    <definedName name="FDC_60_261">"#"</definedName>
    <definedName name="FDC_60_27">"#"</definedName>
    <definedName name="FDC_60_28">"#"</definedName>
    <definedName name="FDC_60_29">"#"</definedName>
    <definedName name="FDC_60_3">"#"</definedName>
    <definedName name="FDC_60_30">"#"</definedName>
    <definedName name="FDC_60_31">"#"</definedName>
    <definedName name="FDC_60_32">"#"</definedName>
    <definedName name="FDC_60_33">"#"</definedName>
    <definedName name="FDC_60_34">"#"</definedName>
    <definedName name="FDC_60_35">"#"</definedName>
    <definedName name="FDC_60_36">"#"</definedName>
    <definedName name="FDC_60_37">"#"</definedName>
    <definedName name="FDC_60_38">"#"</definedName>
    <definedName name="FDC_60_39">"#"</definedName>
    <definedName name="FDC_60_4">"#"</definedName>
    <definedName name="FDC_60_40">"#"</definedName>
    <definedName name="FDC_60_41">"#"</definedName>
    <definedName name="FDC_60_42">"#"</definedName>
    <definedName name="FDC_60_43">"#"</definedName>
    <definedName name="FDC_60_44">"#"</definedName>
    <definedName name="FDC_60_45">"#"</definedName>
    <definedName name="FDC_60_46">"#"</definedName>
    <definedName name="FDC_60_47">"#"</definedName>
    <definedName name="FDC_60_48">"#"</definedName>
    <definedName name="FDC_60_49">"#"</definedName>
    <definedName name="FDC_60_5">"#"</definedName>
    <definedName name="FDC_60_50">"#"</definedName>
    <definedName name="FDC_60_51">"#"</definedName>
    <definedName name="FDC_60_52">"#"</definedName>
    <definedName name="FDC_60_53">"#"</definedName>
    <definedName name="FDC_60_54">"#"</definedName>
    <definedName name="FDC_60_55">"#"</definedName>
    <definedName name="FDC_60_56">"#"</definedName>
    <definedName name="FDC_60_57">"#"</definedName>
    <definedName name="FDC_60_58">"#"</definedName>
    <definedName name="FDC_60_59">"#"</definedName>
    <definedName name="FDC_60_6">"#"</definedName>
    <definedName name="FDC_60_60">"#"</definedName>
    <definedName name="FDC_60_61">"#"</definedName>
    <definedName name="FDC_60_62">"#"</definedName>
    <definedName name="FDC_60_63">"#"</definedName>
    <definedName name="FDC_60_64">"#"</definedName>
    <definedName name="FDC_60_65">"#"</definedName>
    <definedName name="FDC_60_66">"#"</definedName>
    <definedName name="FDC_60_67">"#"</definedName>
    <definedName name="FDC_60_68">"#"</definedName>
    <definedName name="FDC_60_69">"#"</definedName>
    <definedName name="FDC_60_7">"#"</definedName>
    <definedName name="FDC_60_70">"#"</definedName>
    <definedName name="FDC_60_71">"#"</definedName>
    <definedName name="FDC_60_72">"#"</definedName>
    <definedName name="FDC_60_73">"#"</definedName>
    <definedName name="FDC_60_74">"#"</definedName>
    <definedName name="FDC_60_75">"#"</definedName>
    <definedName name="FDC_60_76">"#"</definedName>
    <definedName name="FDC_60_77">"#"</definedName>
    <definedName name="FDC_60_78">"#"</definedName>
    <definedName name="FDC_60_79">"#"</definedName>
    <definedName name="FDC_60_8">"#"</definedName>
    <definedName name="FDC_60_80">"#"</definedName>
    <definedName name="FDC_60_81">"#"</definedName>
    <definedName name="FDC_60_82">"#"</definedName>
    <definedName name="FDC_60_83">"#"</definedName>
    <definedName name="FDC_60_84">"#"</definedName>
    <definedName name="FDC_60_85">"#"</definedName>
    <definedName name="FDC_60_86">"#"</definedName>
    <definedName name="FDC_60_87">"#"</definedName>
    <definedName name="FDC_60_88">"#"</definedName>
    <definedName name="FDC_60_89">"#"</definedName>
    <definedName name="FDC_60_9">"#"</definedName>
    <definedName name="FDC_60_90">"#"</definedName>
    <definedName name="FDC_60_91">"#"</definedName>
    <definedName name="FDC_60_92">"#"</definedName>
    <definedName name="FDC_60_93">"#"</definedName>
    <definedName name="FDC_60_94">"#"</definedName>
    <definedName name="FDC_60_95">"#"</definedName>
    <definedName name="FDC_60_96">"#"</definedName>
    <definedName name="FDC_60_97">"#"</definedName>
    <definedName name="FDC_60_98">"#"</definedName>
    <definedName name="FDC_60_99">"#"</definedName>
    <definedName name="FDC_61_0">"#"</definedName>
    <definedName name="FDC_62_0">"#"</definedName>
    <definedName name="FDC_62_1">"#"</definedName>
    <definedName name="FDC_62_10">"#"</definedName>
    <definedName name="FDC_62_100">"#"</definedName>
    <definedName name="FDC_62_101">"#"</definedName>
    <definedName name="FDC_62_102">"#"</definedName>
    <definedName name="FDC_62_103">"#"</definedName>
    <definedName name="FDC_62_104">"#"</definedName>
    <definedName name="FDC_62_105">"#"</definedName>
    <definedName name="FDC_62_106">"#"</definedName>
    <definedName name="FDC_62_107">"#"</definedName>
    <definedName name="FDC_62_108">"#"</definedName>
    <definedName name="FDC_62_109">"#"</definedName>
    <definedName name="FDC_62_11">"#"</definedName>
    <definedName name="FDC_62_110">"#"</definedName>
    <definedName name="FDC_62_111">"#"</definedName>
    <definedName name="FDC_62_112">"#"</definedName>
    <definedName name="FDC_62_113">"#"</definedName>
    <definedName name="FDC_62_114">"#"</definedName>
    <definedName name="FDC_62_115">"#"</definedName>
    <definedName name="FDC_62_116">"#"</definedName>
    <definedName name="FDC_62_117">"#"</definedName>
    <definedName name="FDC_62_118">"#"</definedName>
    <definedName name="FDC_62_119">"#"</definedName>
    <definedName name="FDC_62_12">"#"</definedName>
    <definedName name="FDC_62_120">"#"</definedName>
    <definedName name="FDC_62_121">"#"</definedName>
    <definedName name="FDC_62_122">"#"</definedName>
    <definedName name="FDC_62_123">"#"</definedName>
    <definedName name="FDC_62_124">"#"</definedName>
    <definedName name="FDC_62_125">"#"</definedName>
    <definedName name="FDC_62_126">"#"</definedName>
    <definedName name="FDC_62_127">"#"</definedName>
    <definedName name="FDC_62_128">"#"</definedName>
    <definedName name="FDC_62_129">"#"</definedName>
    <definedName name="FDC_62_13">"#"</definedName>
    <definedName name="FDC_62_130">"#"</definedName>
    <definedName name="FDC_62_131">"#"</definedName>
    <definedName name="FDC_62_132">"#"</definedName>
    <definedName name="FDC_62_133">"#"</definedName>
    <definedName name="FDC_62_134">"#"</definedName>
    <definedName name="FDC_62_135">"#"</definedName>
    <definedName name="FDC_62_136">"#"</definedName>
    <definedName name="FDC_62_137">"#"</definedName>
    <definedName name="FDC_62_138">"#"</definedName>
    <definedName name="FDC_62_139">"#"</definedName>
    <definedName name="FDC_62_14">"#"</definedName>
    <definedName name="FDC_62_140">"#"</definedName>
    <definedName name="FDC_62_141">"#"</definedName>
    <definedName name="FDC_62_142">"#"</definedName>
    <definedName name="FDC_62_143">"#"</definedName>
    <definedName name="FDC_62_144">"#"</definedName>
    <definedName name="FDC_62_145">"#"</definedName>
    <definedName name="FDC_62_146">"#"</definedName>
    <definedName name="FDC_62_147">"#"</definedName>
    <definedName name="FDC_62_148">"#"</definedName>
    <definedName name="FDC_62_149">"#"</definedName>
    <definedName name="FDC_62_15">"#"</definedName>
    <definedName name="FDC_62_150">"#"</definedName>
    <definedName name="FDC_62_151">"#"</definedName>
    <definedName name="FDC_62_152">"#"</definedName>
    <definedName name="FDC_62_153">"#"</definedName>
    <definedName name="FDC_62_154">"#"</definedName>
    <definedName name="FDC_62_155">"#"</definedName>
    <definedName name="FDC_62_156">"#"</definedName>
    <definedName name="FDC_62_157">"#"</definedName>
    <definedName name="FDC_62_158">"#"</definedName>
    <definedName name="FDC_62_159">"#"</definedName>
    <definedName name="FDC_62_16">"#"</definedName>
    <definedName name="FDC_62_160">"#"</definedName>
    <definedName name="FDC_62_161">"#"</definedName>
    <definedName name="FDC_62_162">"#"</definedName>
    <definedName name="FDC_62_163">"#"</definedName>
    <definedName name="FDC_62_164">"#"</definedName>
    <definedName name="FDC_62_165">"#"</definedName>
    <definedName name="FDC_62_166">"#"</definedName>
    <definedName name="FDC_62_167">"#"</definedName>
    <definedName name="FDC_62_168">"#"</definedName>
    <definedName name="FDC_62_169">"#"</definedName>
    <definedName name="FDC_62_17">"#"</definedName>
    <definedName name="FDC_62_170">"#"</definedName>
    <definedName name="FDC_62_171">"#"</definedName>
    <definedName name="FDC_62_172">"#"</definedName>
    <definedName name="FDC_62_173">"#"</definedName>
    <definedName name="FDC_62_174">"#"</definedName>
    <definedName name="FDC_62_175">"#"</definedName>
    <definedName name="FDC_62_176">"#"</definedName>
    <definedName name="FDC_62_177">"#"</definedName>
    <definedName name="FDC_62_178">"#"</definedName>
    <definedName name="FDC_62_179">"#"</definedName>
    <definedName name="FDC_62_18">"#"</definedName>
    <definedName name="FDC_62_180">"#"</definedName>
    <definedName name="FDC_62_181">"#"</definedName>
    <definedName name="FDC_62_182">"#"</definedName>
    <definedName name="FDC_62_183">"#"</definedName>
    <definedName name="FDC_62_184">"#"</definedName>
    <definedName name="FDC_62_185">"#"</definedName>
    <definedName name="FDC_62_186">"#"</definedName>
    <definedName name="FDC_62_187">"#"</definedName>
    <definedName name="FDC_62_188">"#"</definedName>
    <definedName name="FDC_62_189">"#"</definedName>
    <definedName name="FDC_62_19">"#"</definedName>
    <definedName name="FDC_62_190">"#"</definedName>
    <definedName name="FDC_62_191">"#"</definedName>
    <definedName name="FDC_62_192">"#"</definedName>
    <definedName name="FDC_62_193">"#"</definedName>
    <definedName name="FDC_62_194">"#"</definedName>
    <definedName name="FDC_62_195">"#"</definedName>
    <definedName name="FDC_62_196">"#"</definedName>
    <definedName name="FDC_62_197">"#"</definedName>
    <definedName name="FDC_62_198">"#"</definedName>
    <definedName name="FDC_62_199">"#"</definedName>
    <definedName name="FDC_62_2">"#"</definedName>
    <definedName name="FDC_62_20">"#"</definedName>
    <definedName name="FDC_62_200">"#"</definedName>
    <definedName name="FDC_62_201">"#"</definedName>
    <definedName name="FDC_62_202">"#"</definedName>
    <definedName name="FDC_62_203">"#"</definedName>
    <definedName name="FDC_62_204">"#"</definedName>
    <definedName name="FDC_62_205">"#"</definedName>
    <definedName name="FDC_62_206">"#"</definedName>
    <definedName name="FDC_62_207">"#"</definedName>
    <definedName name="FDC_62_208">"#"</definedName>
    <definedName name="FDC_62_209">"#"</definedName>
    <definedName name="FDC_62_21">"#"</definedName>
    <definedName name="FDC_62_210">"#"</definedName>
    <definedName name="FDC_62_211">"#"</definedName>
    <definedName name="FDC_62_212">"#"</definedName>
    <definedName name="FDC_62_213">"#"</definedName>
    <definedName name="FDC_62_214">"#"</definedName>
    <definedName name="FDC_62_215">"#"</definedName>
    <definedName name="FDC_62_216">"#"</definedName>
    <definedName name="FDC_62_217">"#"</definedName>
    <definedName name="FDC_62_218">"#"</definedName>
    <definedName name="FDC_62_219">"#"</definedName>
    <definedName name="FDC_62_22">"#"</definedName>
    <definedName name="FDC_62_220">"#"</definedName>
    <definedName name="FDC_62_221">"#"</definedName>
    <definedName name="FDC_62_222">"#"</definedName>
    <definedName name="FDC_62_223">"#"</definedName>
    <definedName name="FDC_62_224">"#"</definedName>
    <definedName name="FDC_62_225">"#"</definedName>
    <definedName name="FDC_62_226">"#"</definedName>
    <definedName name="FDC_62_227">"#"</definedName>
    <definedName name="FDC_62_228">"#"</definedName>
    <definedName name="FDC_62_229">"#"</definedName>
    <definedName name="FDC_62_23">"#"</definedName>
    <definedName name="FDC_62_230">"#"</definedName>
    <definedName name="FDC_62_231">"#"</definedName>
    <definedName name="FDC_62_232">"#"</definedName>
    <definedName name="FDC_62_233">"#"</definedName>
    <definedName name="FDC_62_234">"#"</definedName>
    <definedName name="FDC_62_235">"#"</definedName>
    <definedName name="FDC_62_236">"#"</definedName>
    <definedName name="FDC_62_237">"#"</definedName>
    <definedName name="FDC_62_238">"#"</definedName>
    <definedName name="FDC_62_239">"#"</definedName>
    <definedName name="FDC_62_24">"#"</definedName>
    <definedName name="FDC_62_240">"#"</definedName>
    <definedName name="FDC_62_241">"#"</definedName>
    <definedName name="FDC_62_242">"#"</definedName>
    <definedName name="FDC_62_243">"#"</definedName>
    <definedName name="FDC_62_244">"#"</definedName>
    <definedName name="FDC_62_245">"#"</definedName>
    <definedName name="FDC_62_246">"#"</definedName>
    <definedName name="FDC_62_247">"#"</definedName>
    <definedName name="FDC_62_248">"#"</definedName>
    <definedName name="FDC_62_249">"#"</definedName>
    <definedName name="FDC_62_25">"#"</definedName>
    <definedName name="FDC_62_250">"#"</definedName>
    <definedName name="FDC_62_251">"#"</definedName>
    <definedName name="FDC_62_252">"#"</definedName>
    <definedName name="FDC_62_253">"#"</definedName>
    <definedName name="FDC_62_254">"#"</definedName>
    <definedName name="FDC_62_255">"#"</definedName>
    <definedName name="FDC_62_256">"#"</definedName>
    <definedName name="FDC_62_257">"#"</definedName>
    <definedName name="FDC_62_258">"#"</definedName>
    <definedName name="FDC_62_259">"#"</definedName>
    <definedName name="FDC_62_26">"#"</definedName>
    <definedName name="FDC_62_260">"#"</definedName>
    <definedName name="FDC_62_261">"#"</definedName>
    <definedName name="FDC_62_27">"#"</definedName>
    <definedName name="FDC_62_28">"#"</definedName>
    <definedName name="FDC_62_29">"#"</definedName>
    <definedName name="FDC_62_3">"#"</definedName>
    <definedName name="FDC_62_30">"#"</definedName>
    <definedName name="FDC_62_31">"#"</definedName>
    <definedName name="FDC_62_32">"#"</definedName>
    <definedName name="FDC_62_33">"#"</definedName>
    <definedName name="FDC_62_34">"#"</definedName>
    <definedName name="FDC_62_35">"#"</definedName>
    <definedName name="FDC_62_36">"#"</definedName>
    <definedName name="FDC_62_37">"#"</definedName>
    <definedName name="FDC_62_38">"#"</definedName>
    <definedName name="FDC_62_39">"#"</definedName>
    <definedName name="FDC_62_4">"#"</definedName>
    <definedName name="FDC_62_40">"#"</definedName>
    <definedName name="FDC_62_41">"#"</definedName>
    <definedName name="FDC_62_42">"#"</definedName>
    <definedName name="FDC_62_43">"#"</definedName>
    <definedName name="FDC_62_44">"#"</definedName>
    <definedName name="FDC_62_45">"#"</definedName>
    <definedName name="FDC_62_46">"#"</definedName>
    <definedName name="FDC_62_47">"#"</definedName>
    <definedName name="FDC_62_48">"#"</definedName>
    <definedName name="FDC_62_49">"#"</definedName>
    <definedName name="FDC_62_5">"#"</definedName>
    <definedName name="FDC_62_50">"#"</definedName>
    <definedName name="FDC_62_51">"#"</definedName>
    <definedName name="FDC_62_52">"#"</definedName>
    <definedName name="FDC_62_53">"#"</definedName>
    <definedName name="FDC_62_54">"#"</definedName>
    <definedName name="FDC_62_55">"#"</definedName>
    <definedName name="FDC_62_56">"#"</definedName>
    <definedName name="FDC_62_57">"#"</definedName>
    <definedName name="FDC_62_58">"#"</definedName>
    <definedName name="FDC_62_59">"#"</definedName>
    <definedName name="FDC_62_6">"#"</definedName>
    <definedName name="FDC_62_60">"#"</definedName>
    <definedName name="FDC_62_61">"#"</definedName>
    <definedName name="FDC_62_62">"#"</definedName>
    <definedName name="FDC_62_63">"#"</definedName>
    <definedName name="FDC_62_64">"#"</definedName>
    <definedName name="FDC_62_65">"#"</definedName>
    <definedName name="FDC_62_66">"#"</definedName>
    <definedName name="FDC_62_67">"#"</definedName>
    <definedName name="FDC_62_68">"#"</definedName>
    <definedName name="FDC_62_69">"#"</definedName>
    <definedName name="FDC_62_7">"#"</definedName>
    <definedName name="FDC_62_70">"#"</definedName>
    <definedName name="FDC_62_71">"#"</definedName>
    <definedName name="FDC_62_72">"#"</definedName>
    <definedName name="FDC_62_73">"#"</definedName>
    <definedName name="FDC_62_74">"#"</definedName>
    <definedName name="FDC_62_75">"#"</definedName>
    <definedName name="FDC_62_76">"#"</definedName>
    <definedName name="FDC_62_77">"#"</definedName>
    <definedName name="FDC_62_78">"#"</definedName>
    <definedName name="FDC_62_79">"#"</definedName>
    <definedName name="FDC_62_8">"#"</definedName>
    <definedName name="FDC_62_80">"#"</definedName>
    <definedName name="FDC_62_81">"#"</definedName>
    <definedName name="FDC_62_82">"#"</definedName>
    <definedName name="FDC_62_83">"#"</definedName>
    <definedName name="FDC_62_84">"#"</definedName>
    <definedName name="FDC_62_85">"#"</definedName>
    <definedName name="FDC_62_86">"#"</definedName>
    <definedName name="FDC_62_87">"#"</definedName>
    <definedName name="FDC_62_88">"#"</definedName>
    <definedName name="FDC_62_89">"#"</definedName>
    <definedName name="FDC_62_9">"#"</definedName>
    <definedName name="FDC_62_90">"#"</definedName>
    <definedName name="FDC_62_91">"#"</definedName>
    <definedName name="FDC_62_92">"#"</definedName>
    <definedName name="FDC_62_93">"#"</definedName>
    <definedName name="FDC_62_94">"#"</definedName>
    <definedName name="FDC_62_95">"#"</definedName>
    <definedName name="FDC_62_96">"#"</definedName>
    <definedName name="FDC_62_97">"#"</definedName>
    <definedName name="FDC_62_98">"#"</definedName>
    <definedName name="FDC_62_99">"#"</definedName>
    <definedName name="FDC_63_0">"#"</definedName>
    <definedName name="FDC_63_1">"#"</definedName>
    <definedName name="FDC_63_10">"#"</definedName>
    <definedName name="FDC_63_100">"#"</definedName>
    <definedName name="FDC_63_101">"#"</definedName>
    <definedName name="FDC_63_102">"#"</definedName>
    <definedName name="FDC_63_103">"#"</definedName>
    <definedName name="FDC_63_104">"#"</definedName>
    <definedName name="FDC_63_105">"#"</definedName>
    <definedName name="FDC_63_106">"#"</definedName>
    <definedName name="FDC_63_107">"#"</definedName>
    <definedName name="FDC_63_108">"#"</definedName>
    <definedName name="FDC_63_109">"#"</definedName>
    <definedName name="FDC_63_11">"#"</definedName>
    <definedName name="FDC_63_110">"#"</definedName>
    <definedName name="FDC_63_111">"#"</definedName>
    <definedName name="FDC_63_112">"#"</definedName>
    <definedName name="FDC_63_113">"#"</definedName>
    <definedName name="FDC_63_114">"#"</definedName>
    <definedName name="FDC_63_115">"#"</definedName>
    <definedName name="FDC_63_116">"#"</definedName>
    <definedName name="FDC_63_117">"#"</definedName>
    <definedName name="FDC_63_118">"#"</definedName>
    <definedName name="FDC_63_119">"#"</definedName>
    <definedName name="FDC_63_12">"#"</definedName>
    <definedName name="FDC_63_120">"#"</definedName>
    <definedName name="FDC_63_121">"#"</definedName>
    <definedName name="FDC_63_122">"#"</definedName>
    <definedName name="FDC_63_123">"#"</definedName>
    <definedName name="FDC_63_124">"#"</definedName>
    <definedName name="FDC_63_125">"#"</definedName>
    <definedName name="FDC_63_126">"#"</definedName>
    <definedName name="FDC_63_127">"#"</definedName>
    <definedName name="FDC_63_128">"#"</definedName>
    <definedName name="FDC_63_129">"#"</definedName>
    <definedName name="FDC_63_13">"#"</definedName>
    <definedName name="FDC_63_130">"#"</definedName>
    <definedName name="FDC_63_131">"#"</definedName>
    <definedName name="FDC_63_132">"#"</definedName>
    <definedName name="FDC_63_133">"#"</definedName>
    <definedName name="FDC_63_134">"#"</definedName>
    <definedName name="FDC_63_135">"#"</definedName>
    <definedName name="FDC_63_136">"#"</definedName>
    <definedName name="FDC_63_137">"#"</definedName>
    <definedName name="FDC_63_138">"#"</definedName>
    <definedName name="FDC_63_139">"#"</definedName>
    <definedName name="FDC_63_14">"#"</definedName>
    <definedName name="FDC_63_140">"#"</definedName>
    <definedName name="FDC_63_141">"#"</definedName>
    <definedName name="FDC_63_142">"#"</definedName>
    <definedName name="FDC_63_143">"#"</definedName>
    <definedName name="FDC_63_144">"#"</definedName>
    <definedName name="FDC_63_145">"#"</definedName>
    <definedName name="FDC_63_146">"#"</definedName>
    <definedName name="FDC_63_147">"#"</definedName>
    <definedName name="FDC_63_148">"#"</definedName>
    <definedName name="FDC_63_149">"#"</definedName>
    <definedName name="FDC_63_15">"#"</definedName>
    <definedName name="FDC_63_150">"#"</definedName>
    <definedName name="FDC_63_151">"#"</definedName>
    <definedName name="FDC_63_152">"#"</definedName>
    <definedName name="FDC_63_153">"#"</definedName>
    <definedName name="FDC_63_154">"#"</definedName>
    <definedName name="FDC_63_155">"#"</definedName>
    <definedName name="FDC_63_156">"#"</definedName>
    <definedName name="FDC_63_157">"#"</definedName>
    <definedName name="FDC_63_158">"#"</definedName>
    <definedName name="FDC_63_159">"#"</definedName>
    <definedName name="FDC_63_16">"#"</definedName>
    <definedName name="FDC_63_160">"#"</definedName>
    <definedName name="FDC_63_161">"#"</definedName>
    <definedName name="FDC_63_162">"#"</definedName>
    <definedName name="FDC_63_163">"#"</definedName>
    <definedName name="FDC_63_164">"#"</definedName>
    <definedName name="FDC_63_165">"#"</definedName>
    <definedName name="FDC_63_166">"#"</definedName>
    <definedName name="FDC_63_167">"#"</definedName>
    <definedName name="FDC_63_168">"#"</definedName>
    <definedName name="FDC_63_169">"#"</definedName>
    <definedName name="FDC_63_17">"#"</definedName>
    <definedName name="FDC_63_170">"#"</definedName>
    <definedName name="FDC_63_171">"#"</definedName>
    <definedName name="FDC_63_172">"#"</definedName>
    <definedName name="FDC_63_173">"#"</definedName>
    <definedName name="FDC_63_174">"#"</definedName>
    <definedName name="FDC_63_175">"#"</definedName>
    <definedName name="FDC_63_176">"#"</definedName>
    <definedName name="FDC_63_177">"#"</definedName>
    <definedName name="FDC_63_178">"#"</definedName>
    <definedName name="FDC_63_179">"#"</definedName>
    <definedName name="FDC_63_18">"#"</definedName>
    <definedName name="FDC_63_180">"#"</definedName>
    <definedName name="FDC_63_181">"#"</definedName>
    <definedName name="FDC_63_182">"#"</definedName>
    <definedName name="FDC_63_183">"#"</definedName>
    <definedName name="FDC_63_184">"#"</definedName>
    <definedName name="FDC_63_185">"#"</definedName>
    <definedName name="FDC_63_186">"#"</definedName>
    <definedName name="FDC_63_187">"#"</definedName>
    <definedName name="FDC_63_188">"#"</definedName>
    <definedName name="FDC_63_189">"#"</definedName>
    <definedName name="FDC_63_19">"#"</definedName>
    <definedName name="FDC_63_190">"#"</definedName>
    <definedName name="FDC_63_191">"#"</definedName>
    <definedName name="FDC_63_192">"#"</definedName>
    <definedName name="FDC_63_193">"#"</definedName>
    <definedName name="FDC_63_194">"#"</definedName>
    <definedName name="FDC_63_195">"#"</definedName>
    <definedName name="FDC_63_196">"#"</definedName>
    <definedName name="FDC_63_197">"#"</definedName>
    <definedName name="FDC_63_198">"#"</definedName>
    <definedName name="FDC_63_199">"#"</definedName>
    <definedName name="FDC_63_2">"#"</definedName>
    <definedName name="FDC_63_20">"#"</definedName>
    <definedName name="FDC_63_200">"#"</definedName>
    <definedName name="FDC_63_201">"#"</definedName>
    <definedName name="FDC_63_202">"#"</definedName>
    <definedName name="FDC_63_203">"#"</definedName>
    <definedName name="FDC_63_204">"#"</definedName>
    <definedName name="FDC_63_205">"#"</definedName>
    <definedName name="FDC_63_206">"#"</definedName>
    <definedName name="FDC_63_207">"#"</definedName>
    <definedName name="FDC_63_208">"#"</definedName>
    <definedName name="FDC_63_209">"#"</definedName>
    <definedName name="FDC_63_21">"#"</definedName>
    <definedName name="FDC_63_210">"#"</definedName>
    <definedName name="FDC_63_211">"#"</definedName>
    <definedName name="FDC_63_212">"#"</definedName>
    <definedName name="FDC_63_213">"#"</definedName>
    <definedName name="FDC_63_214">"#"</definedName>
    <definedName name="FDC_63_215">"#"</definedName>
    <definedName name="FDC_63_216">"#"</definedName>
    <definedName name="FDC_63_217">"#"</definedName>
    <definedName name="FDC_63_218">"#"</definedName>
    <definedName name="FDC_63_219">"#"</definedName>
    <definedName name="FDC_63_22">"#"</definedName>
    <definedName name="FDC_63_220">"#"</definedName>
    <definedName name="FDC_63_221">"#"</definedName>
    <definedName name="FDC_63_222">"#"</definedName>
    <definedName name="FDC_63_223">"#"</definedName>
    <definedName name="FDC_63_224">"#"</definedName>
    <definedName name="FDC_63_225">"#"</definedName>
    <definedName name="FDC_63_226">"#"</definedName>
    <definedName name="FDC_63_227">"#"</definedName>
    <definedName name="FDC_63_228">"#"</definedName>
    <definedName name="FDC_63_229">"#"</definedName>
    <definedName name="FDC_63_23">"#"</definedName>
    <definedName name="FDC_63_230">"#"</definedName>
    <definedName name="FDC_63_231">"#"</definedName>
    <definedName name="FDC_63_232">"#"</definedName>
    <definedName name="FDC_63_233">"#"</definedName>
    <definedName name="FDC_63_234">"#"</definedName>
    <definedName name="FDC_63_235">"#"</definedName>
    <definedName name="FDC_63_236">"#"</definedName>
    <definedName name="FDC_63_237">"#"</definedName>
    <definedName name="FDC_63_238">"#"</definedName>
    <definedName name="FDC_63_239">"#"</definedName>
    <definedName name="FDC_63_24">"#"</definedName>
    <definedName name="FDC_63_240">"#"</definedName>
    <definedName name="FDC_63_241">"#"</definedName>
    <definedName name="FDC_63_242">"#"</definedName>
    <definedName name="FDC_63_243">"#"</definedName>
    <definedName name="FDC_63_244">"#"</definedName>
    <definedName name="FDC_63_245">"#"</definedName>
    <definedName name="FDC_63_246">"#"</definedName>
    <definedName name="FDC_63_247">"#"</definedName>
    <definedName name="FDC_63_248">"#"</definedName>
    <definedName name="FDC_63_249">"#"</definedName>
    <definedName name="FDC_63_25">"#"</definedName>
    <definedName name="FDC_63_250">"#"</definedName>
    <definedName name="FDC_63_251">"#"</definedName>
    <definedName name="FDC_63_252">"#"</definedName>
    <definedName name="FDC_63_253">"#"</definedName>
    <definedName name="FDC_63_254">"#"</definedName>
    <definedName name="FDC_63_255">"#"</definedName>
    <definedName name="FDC_63_256">"#"</definedName>
    <definedName name="FDC_63_257">"#"</definedName>
    <definedName name="FDC_63_258">"#"</definedName>
    <definedName name="FDC_63_259">"#"</definedName>
    <definedName name="FDC_63_26">"#"</definedName>
    <definedName name="FDC_63_260">"#"</definedName>
    <definedName name="FDC_63_261">"#"</definedName>
    <definedName name="FDC_63_27">"#"</definedName>
    <definedName name="FDC_63_28">"#"</definedName>
    <definedName name="FDC_63_29">"#"</definedName>
    <definedName name="FDC_63_3">"#"</definedName>
    <definedName name="FDC_63_30">"#"</definedName>
    <definedName name="FDC_63_31">"#"</definedName>
    <definedName name="FDC_63_32">"#"</definedName>
    <definedName name="FDC_63_33">"#"</definedName>
    <definedName name="FDC_63_34">"#"</definedName>
    <definedName name="FDC_63_35">"#"</definedName>
    <definedName name="FDC_63_36">"#"</definedName>
    <definedName name="FDC_63_37">"#"</definedName>
    <definedName name="FDC_63_38">"#"</definedName>
    <definedName name="FDC_63_39">"#"</definedName>
    <definedName name="FDC_63_4">"#"</definedName>
    <definedName name="FDC_63_40">"#"</definedName>
    <definedName name="FDC_63_41">"#"</definedName>
    <definedName name="FDC_63_42">"#"</definedName>
    <definedName name="FDC_63_43">"#"</definedName>
    <definedName name="FDC_63_44">"#"</definedName>
    <definedName name="FDC_63_45">"#"</definedName>
    <definedName name="FDC_63_46">"#"</definedName>
    <definedName name="FDC_63_47">"#"</definedName>
    <definedName name="FDC_63_48">"#"</definedName>
    <definedName name="FDC_63_49">"#"</definedName>
    <definedName name="FDC_63_5">"#"</definedName>
    <definedName name="FDC_63_50">"#"</definedName>
    <definedName name="FDC_63_51">"#"</definedName>
    <definedName name="FDC_63_52">"#"</definedName>
    <definedName name="FDC_63_53">"#"</definedName>
    <definedName name="FDC_63_54">"#"</definedName>
    <definedName name="FDC_63_55">"#"</definedName>
    <definedName name="FDC_63_56">"#"</definedName>
    <definedName name="FDC_63_57">"#"</definedName>
    <definedName name="FDC_63_58">"#"</definedName>
    <definedName name="FDC_63_59">"#"</definedName>
    <definedName name="FDC_63_6">"#"</definedName>
    <definedName name="FDC_63_60">"#"</definedName>
    <definedName name="FDC_63_61">"#"</definedName>
    <definedName name="FDC_63_62">"#"</definedName>
    <definedName name="FDC_63_63">"#"</definedName>
    <definedName name="FDC_63_64">"#"</definedName>
    <definedName name="FDC_63_65">"#"</definedName>
    <definedName name="FDC_63_66">"#"</definedName>
    <definedName name="FDC_63_67">"#"</definedName>
    <definedName name="FDC_63_68">"#"</definedName>
    <definedName name="FDC_63_69">"#"</definedName>
    <definedName name="FDC_63_7">"#"</definedName>
    <definedName name="FDC_63_70">"#"</definedName>
    <definedName name="FDC_63_71">"#"</definedName>
    <definedName name="FDC_63_72">"#"</definedName>
    <definedName name="FDC_63_73">"#"</definedName>
    <definedName name="FDC_63_74">"#"</definedName>
    <definedName name="FDC_63_75">"#"</definedName>
    <definedName name="FDC_63_76">"#"</definedName>
    <definedName name="FDC_63_77">"#"</definedName>
    <definedName name="FDC_63_78">"#"</definedName>
    <definedName name="FDC_63_79">"#"</definedName>
    <definedName name="FDC_63_8">"#"</definedName>
    <definedName name="FDC_63_80">"#"</definedName>
    <definedName name="FDC_63_81">"#"</definedName>
    <definedName name="FDC_63_82">"#"</definedName>
    <definedName name="FDC_63_83">"#"</definedName>
    <definedName name="FDC_63_84">"#"</definedName>
    <definedName name="FDC_63_85">"#"</definedName>
    <definedName name="FDC_63_86">"#"</definedName>
    <definedName name="FDC_63_87">"#"</definedName>
    <definedName name="FDC_63_88">"#"</definedName>
    <definedName name="FDC_63_89">"#"</definedName>
    <definedName name="FDC_63_9">"#"</definedName>
    <definedName name="FDC_63_90">"#"</definedName>
    <definedName name="FDC_63_91">"#"</definedName>
    <definedName name="FDC_63_92">"#"</definedName>
    <definedName name="FDC_63_93">"#"</definedName>
    <definedName name="FDC_63_94">"#"</definedName>
    <definedName name="FDC_63_95">"#"</definedName>
    <definedName name="FDC_63_96">"#"</definedName>
    <definedName name="FDC_63_97">"#"</definedName>
    <definedName name="FDC_63_98">"#"</definedName>
    <definedName name="FDC_63_99">"#"</definedName>
    <definedName name="FDC_64_0">"#"</definedName>
    <definedName name="FDC_64_1">"#"</definedName>
    <definedName name="FDC_64_10">"#"</definedName>
    <definedName name="FDC_64_100">"#"</definedName>
    <definedName name="FDC_64_101">"#"</definedName>
    <definedName name="FDC_64_102">"#"</definedName>
    <definedName name="FDC_64_103">"#"</definedName>
    <definedName name="FDC_64_104">"#"</definedName>
    <definedName name="FDC_64_105">"#"</definedName>
    <definedName name="FDC_64_106">"#"</definedName>
    <definedName name="FDC_64_107">"#"</definedName>
    <definedName name="FDC_64_108">"#"</definedName>
    <definedName name="FDC_64_109">"#"</definedName>
    <definedName name="FDC_64_11">"#"</definedName>
    <definedName name="FDC_64_110">"#"</definedName>
    <definedName name="FDC_64_111">"#"</definedName>
    <definedName name="FDC_64_112">"#"</definedName>
    <definedName name="FDC_64_113">"#"</definedName>
    <definedName name="FDC_64_114">"#"</definedName>
    <definedName name="FDC_64_115">"#"</definedName>
    <definedName name="FDC_64_116">"#"</definedName>
    <definedName name="FDC_64_117">"#"</definedName>
    <definedName name="FDC_64_118">"#"</definedName>
    <definedName name="FDC_64_119">"#"</definedName>
    <definedName name="FDC_64_12">"#"</definedName>
    <definedName name="FDC_64_120">"#"</definedName>
    <definedName name="FDC_64_121">"#"</definedName>
    <definedName name="FDC_64_122">"#"</definedName>
    <definedName name="FDC_64_123">"#"</definedName>
    <definedName name="FDC_64_124">"#"</definedName>
    <definedName name="FDC_64_125">"#"</definedName>
    <definedName name="FDC_64_126">"#"</definedName>
    <definedName name="FDC_64_127">"#"</definedName>
    <definedName name="FDC_64_128">"#"</definedName>
    <definedName name="FDC_64_129">"#"</definedName>
    <definedName name="FDC_64_13">"#"</definedName>
    <definedName name="FDC_64_130">"#"</definedName>
    <definedName name="FDC_64_131">"#"</definedName>
    <definedName name="FDC_64_132">"#"</definedName>
    <definedName name="FDC_64_133">"#"</definedName>
    <definedName name="FDC_64_134">"#"</definedName>
    <definedName name="FDC_64_135">"#"</definedName>
    <definedName name="FDC_64_136">"#"</definedName>
    <definedName name="FDC_64_137">"#"</definedName>
    <definedName name="FDC_64_138">"#"</definedName>
    <definedName name="FDC_64_139">"#"</definedName>
    <definedName name="FDC_64_14">"#"</definedName>
    <definedName name="FDC_64_140">"#"</definedName>
    <definedName name="FDC_64_141">"#"</definedName>
    <definedName name="FDC_64_142">"#"</definedName>
    <definedName name="FDC_64_143">"#"</definedName>
    <definedName name="FDC_64_144">"#"</definedName>
    <definedName name="FDC_64_145">"#"</definedName>
    <definedName name="FDC_64_146">"#"</definedName>
    <definedName name="FDC_64_147">"#"</definedName>
    <definedName name="FDC_64_148">"#"</definedName>
    <definedName name="FDC_64_149">"#"</definedName>
    <definedName name="FDC_64_15">"#"</definedName>
    <definedName name="FDC_64_150">"#"</definedName>
    <definedName name="FDC_64_151">"#"</definedName>
    <definedName name="FDC_64_152">"#"</definedName>
    <definedName name="FDC_64_153">"#"</definedName>
    <definedName name="FDC_64_154">"#"</definedName>
    <definedName name="FDC_64_155">"#"</definedName>
    <definedName name="FDC_64_156">"#"</definedName>
    <definedName name="FDC_64_157">"#"</definedName>
    <definedName name="FDC_64_158">"#"</definedName>
    <definedName name="FDC_64_159">"#"</definedName>
    <definedName name="FDC_64_16">"#"</definedName>
    <definedName name="FDC_64_160">"#"</definedName>
    <definedName name="FDC_64_161">"#"</definedName>
    <definedName name="FDC_64_162">"#"</definedName>
    <definedName name="FDC_64_163">"#"</definedName>
    <definedName name="FDC_64_164">"#"</definedName>
    <definedName name="FDC_64_165">"#"</definedName>
    <definedName name="FDC_64_166">"#"</definedName>
    <definedName name="FDC_64_167">"#"</definedName>
    <definedName name="FDC_64_168">"#"</definedName>
    <definedName name="FDC_64_169">"#"</definedName>
    <definedName name="FDC_64_17">"#"</definedName>
    <definedName name="FDC_64_170">"#"</definedName>
    <definedName name="FDC_64_171">"#"</definedName>
    <definedName name="FDC_64_172">"#"</definedName>
    <definedName name="FDC_64_173">"#"</definedName>
    <definedName name="FDC_64_174">"#"</definedName>
    <definedName name="FDC_64_175">"#"</definedName>
    <definedName name="FDC_64_176">"#"</definedName>
    <definedName name="FDC_64_177">"#"</definedName>
    <definedName name="FDC_64_178">"#"</definedName>
    <definedName name="FDC_64_179">"#"</definedName>
    <definedName name="FDC_64_18">"#"</definedName>
    <definedName name="FDC_64_180">"#"</definedName>
    <definedName name="FDC_64_181">"#"</definedName>
    <definedName name="FDC_64_182">"#"</definedName>
    <definedName name="FDC_64_183">"#"</definedName>
    <definedName name="FDC_64_184">"#"</definedName>
    <definedName name="FDC_64_185">"#"</definedName>
    <definedName name="FDC_64_186">"#"</definedName>
    <definedName name="FDC_64_187">"#"</definedName>
    <definedName name="FDC_64_188">"#"</definedName>
    <definedName name="FDC_64_189">"#"</definedName>
    <definedName name="FDC_64_19">"#"</definedName>
    <definedName name="FDC_64_190">"#"</definedName>
    <definedName name="FDC_64_191">"#"</definedName>
    <definedName name="FDC_64_192">"#"</definedName>
    <definedName name="FDC_64_193">"#"</definedName>
    <definedName name="FDC_64_194">"#"</definedName>
    <definedName name="FDC_64_195">"#"</definedName>
    <definedName name="FDC_64_196">"#"</definedName>
    <definedName name="FDC_64_197">"#"</definedName>
    <definedName name="FDC_64_198">"#"</definedName>
    <definedName name="FDC_64_199">"#"</definedName>
    <definedName name="FDC_64_2">"#"</definedName>
    <definedName name="FDC_64_20">"#"</definedName>
    <definedName name="FDC_64_200">"#"</definedName>
    <definedName name="FDC_64_201">"#"</definedName>
    <definedName name="FDC_64_202">"#"</definedName>
    <definedName name="FDC_64_203">"#"</definedName>
    <definedName name="FDC_64_204">"#"</definedName>
    <definedName name="FDC_64_205">"#"</definedName>
    <definedName name="FDC_64_206">"#"</definedName>
    <definedName name="FDC_64_207">"#"</definedName>
    <definedName name="FDC_64_208">"#"</definedName>
    <definedName name="FDC_64_209">"#"</definedName>
    <definedName name="FDC_64_21">"#"</definedName>
    <definedName name="FDC_64_210">"#"</definedName>
    <definedName name="FDC_64_211">"#"</definedName>
    <definedName name="FDC_64_212">"#"</definedName>
    <definedName name="FDC_64_213">"#"</definedName>
    <definedName name="FDC_64_214">"#"</definedName>
    <definedName name="FDC_64_215">"#"</definedName>
    <definedName name="FDC_64_216">"#"</definedName>
    <definedName name="FDC_64_217">"#"</definedName>
    <definedName name="FDC_64_218">"#"</definedName>
    <definedName name="FDC_64_219">"#"</definedName>
    <definedName name="FDC_64_22">"#"</definedName>
    <definedName name="FDC_64_220">"#"</definedName>
    <definedName name="FDC_64_221">"#"</definedName>
    <definedName name="FDC_64_222">"#"</definedName>
    <definedName name="FDC_64_223">"#"</definedName>
    <definedName name="FDC_64_224">"#"</definedName>
    <definedName name="FDC_64_225">"#"</definedName>
    <definedName name="FDC_64_226">"#"</definedName>
    <definedName name="FDC_64_227">"#"</definedName>
    <definedName name="FDC_64_228">"#"</definedName>
    <definedName name="FDC_64_229">"#"</definedName>
    <definedName name="FDC_64_23">"#"</definedName>
    <definedName name="FDC_64_230">"#"</definedName>
    <definedName name="FDC_64_231">"#"</definedName>
    <definedName name="FDC_64_232">"#"</definedName>
    <definedName name="FDC_64_233">"#"</definedName>
    <definedName name="FDC_64_234">"#"</definedName>
    <definedName name="FDC_64_235">"#"</definedName>
    <definedName name="FDC_64_236">"#"</definedName>
    <definedName name="FDC_64_237">"#"</definedName>
    <definedName name="FDC_64_238">"#"</definedName>
    <definedName name="FDC_64_239">"#"</definedName>
    <definedName name="FDC_64_24">"#"</definedName>
    <definedName name="FDC_64_240">"#"</definedName>
    <definedName name="FDC_64_241">"#"</definedName>
    <definedName name="FDC_64_242">"#"</definedName>
    <definedName name="FDC_64_243">"#"</definedName>
    <definedName name="FDC_64_244">"#"</definedName>
    <definedName name="FDC_64_245">"#"</definedName>
    <definedName name="FDC_64_246">"#"</definedName>
    <definedName name="FDC_64_247">"#"</definedName>
    <definedName name="FDC_64_248">"#"</definedName>
    <definedName name="FDC_64_249">"#"</definedName>
    <definedName name="FDC_64_25">"#"</definedName>
    <definedName name="FDC_64_250">"#"</definedName>
    <definedName name="FDC_64_251">"#"</definedName>
    <definedName name="FDC_64_252">"#"</definedName>
    <definedName name="FDC_64_253">"#"</definedName>
    <definedName name="FDC_64_254">"#"</definedName>
    <definedName name="FDC_64_255">"#"</definedName>
    <definedName name="FDC_64_256">"#"</definedName>
    <definedName name="FDC_64_257">"#"</definedName>
    <definedName name="FDC_64_258">"#"</definedName>
    <definedName name="FDC_64_259">"#"</definedName>
    <definedName name="FDC_64_26">"#"</definedName>
    <definedName name="FDC_64_260">"#"</definedName>
    <definedName name="FDC_64_261">"#"</definedName>
    <definedName name="FDC_64_27">"#"</definedName>
    <definedName name="FDC_64_28">"#"</definedName>
    <definedName name="FDC_64_29">"#"</definedName>
    <definedName name="FDC_64_3">"#"</definedName>
    <definedName name="FDC_64_30">"#"</definedName>
    <definedName name="FDC_64_31">"#"</definedName>
    <definedName name="FDC_64_32">"#"</definedName>
    <definedName name="FDC_64_33">"#"</definedName>
    <definedName name="FDC_64_34">"#"</definedName>
    <definedName name="FDC_64_35">"#"</definedName>
    <definedName name="FDC_64_36">"#"</definedName>
    <definedName name="FDC_64_37">"#"</definedName>
    <definedName name="FDC_64_38">"#"</definedName>
    <definedName name="FDC_64_39">"#"</definedName>
    <definedName name="FDC_64_4">"#"</definedName>
    <definedName name="FDC_64_40">"#"</definedName>
    <definedName name="FDC_64_41">"#"</definedName>
    <definedName name="FDC_64_42">"#"</definedName>
    <definedName name="FDC_64_43">"#"</definedName>
    <definedName name="FDC_64_44">"#"</definedName>
    <definedName name="FDC_64_45">"#"</definedName>
    <definedName name="FDC_64_46">"#"</definedName>
    <definedName name="FDC_64_47">"#"</definedName>
    <definedName name="FDC_64_48">"#"</definedName>
    <definedName name="FDC_64_49">"#"</definedName>
    <definedName name="FDC_64_5">"#"</definedName>
    <definedName name="FDC_64_50">"#"</definedName>
    <definedName name="FDC_64_51">"#"</definedName>
    <definedName name="FDC_64_52">"#"</definedName>
    <definedName name="FDC_64_53">"#"</definedName>
    <definedName name="FDC_64_54">"#"</definedName>
    <definedName name="FDC_64_55">"#"</definedName>
    <definedName name="FDC_64_56">"#"</definedName>
    <definedName name="FDC_64_57">"#"</definedName>
    <definedName name="FDC_64_58">"#"</definedName>
    <definedName name="FDC_64_59">"#"</definedName>
    <definedName name="FDC_64_6">"#"</definedName>
    <definedName name="FDC_64_60">"#"</definedName>
    <definedName name="FDC_64_61">"#"</definedName>
    <definedName name="FDC_64_62">"#"</definedName>
    <definedName name="FDC_64_63">"#"</definedName>
    <definedName name="FDC_64_64">"#"</definedName>
    <definedName name="FDC_64_65">"#"</definedName>
    <definedName name="FDC_64_66">"#"</definedName>
    <definedName name="FDC_64_67">"#"</definedName>
    <definedName name="FDC_64_68">"#"</definedName>
    <definedName name="FDC_64_69">"#"</definedName>
    <definedName name="FDC_64_7">"#"</definedName>
    <definedName name="FDC_64_70">"#"</definedName>
    <definedName name="FDC_64_71">"#"</definedName>
    <definedName name="FDC_64_72">"#"</definedName>
    <definedName name="FDC_64_73">"#"</definedName>
    <definedName name="FDC_64_74">"#"</definedName>
    <definedName name="FDC_64_75">"#"</definedName>
    <definedName name="FDC_64_76">"#"</definedName>
    <definedName name="FDC_64_77">"#"</definedName>
    <definedName name="FDC_64_78">"#"</definedName>
    <definedName name="FDC_64_79">"#"</definedName>
    <definedName name="FDC_64_8">"#"</definedName>
    <definedName name="FDC_64_80">"#"</definedName>
    <definedName name="FDC_64_81">"#"</definedName>
    <definedName name="FDC_64_82">"#"</definedName>
    <definedName name="FDC_64_83">"#"</definedName>
    <definedName name="FDC_64_84">"#"</definedName>
    <definedName name="FDC_64_85">"#"</definedName>
    <definedName name="FDC_64_86">"#"</definedName>
    <definedName name="FDC_64_87">"#"</definedName>
    <definedName name="FDC_64_88">"#"</definedName>
    <definedName name="FDC_64_89">"#"</definedName>
    <definedName name="FDC_64_9">"#"</definedName>
    <definedName name="FDC_64_90">"#"</definedName>
    <definedName name="FDC_64_91">"#"</definedName>
    <definedName name="FDC_64_92">"#"</definedName>
    <definedName name="FDC_64_93">"#"</definedName>
    <definedName name="FDC_64_94">"#"</definedName>
    <definedName name="FDC_64_95">"#"</definedName>
    <definedName name="FDC_64_96">"#"</definedName>
    <definedName name="FDC_64_97">"#"</definedName>
    <definedName name="FDC_64_98">"#"</definedName>
    <definedName name="FDC_64_99">"#"</definedName>
    <definedName name="FDC_65_0">"#"</definedName>
    <definedName name="FDC_7_0">"#"</definedName>
    <definedName name="FDC_7_1">"#"</definedName>
    <definedName name="FDC_7_2">"#"</definedName>
    <definedName name="FDC_7_3">"#"</definedName>
    <definedName name="FDC_8_0">"#"</definedName>
    <definedName name="FDC_8_1">"#"</definedName>
    <definedName name="FDC_8_2">"#"</definedName>
    <definedName name="FDC_8_3">"#"</definedName>
    <definedName name="FDC_9_0">"#"</definedName>
    <definedName name="FDC_9_1">"#"</definedName>
    <definedName name="FDC_9_2">"#"</definedName>
    <definedName name="FDC_9_3">"#"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_1">"A35795"</definedName>
    <definedName name="FDD_10_2">"A36160"</definedName>
    <definedName name="FDD_10_3">"E36525"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_1">"E35795"</definedName>
    <definedName name="FDD_11_2">"E36160"</definedName>
    <definedName name="FDD_11_3">"E36525"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_1">"E35795"</definedName>
    <definedName name="FDD_12_2">"E36160"</definedName>
    <definedName name="FDD_12_3">"E36525"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_1">"A35795"</definedName>
    <definedName name="FDD_19_2">"E36160"</definedName>
    <definedName name="FDD_19_3">"E36525"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_1">"U35795"</definedName>
    <definedName name="FDD_25_2">"U36160"</definedName>
    <definedName name="FDD_25_3">"U36525"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1_1">"A35795"</definedName>
    <definedName name="FDD_41_2">"E36160"</definedName>
    <definedName name="FDD_41_3">"E36525"</definedName>
    <definedName name="FDD_42_0">"U25569"</definedName>
    <definedName name="FDD_42_1">"U35795"</definedName>
    <definedName name="FDD_42_2">"U36160"</definedName>
    <definedName name="FDD_42_3">"U36525"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_1">"E35795"</definedName>
    <definedName name="FDD_5_2">"E36160"</definedName>
    <definedName name="FDD_5_3">"E36525"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00">"A35044"</definedName>
    <definedName name="FDD_58_101">"A35051"</definedName>
    <definedName name="FDD_58_102">"A35058"</definedName>
    <definedName name="FDD_58_103">"A35065"</definedName>
    <definedName name="FDD_58_104">"A35072"</definedName>
    <definedName name="FDD_58_105">"A35079"</definedName>
    <definedName name="FDD_58_106">"A35086"</definedName>
    <definedName name="FDD_58_107">"A35093"</definedName>
    <definedName name="FDD_58_108">"A35100"</definedName>
    <definedName name="FDD_58_109">"A35107"</definedName>
    <definedName name="FDD_58_11">"A34699"</definedName>
    <definedName name="FDD_58_110">"A35114"</definedName>
    <definedName name="FDD_58_111">"A35121"</definedName>
    <definedName name="FDD_58_112">"A35128"</definedName>
    <definedName name="FDD_58_113">"A35135"</definedName>
    <definedName name="FDD_58_114">"A35142"</definedName>
    <definedName name="FDD_58_115">"A35149"</definedName>
    <definedName name="FDD_58_116">"A35156"</definedName>
    <definedName name="FDD_58_117">"A35162"</definedName>
    <definedName name="FDD_58_118">"A35170"</definedName>
    <definedName name="FDD_58_119">"A35177"</definedName>
    <definedName name="FDD_58_12">"A35064"</definedName>
    <definedName name="FDD_58_120">"A35184"</definedName>
    <definedName name="FDD_58_121">"A35191"</definedName>
    <definedName name="FDD_58_122">"A35198"</definedName>
    <definedName name="FDD_58_123">"A35205"</definedName>
    <definedName name="FDD_58_124">"A35212"</definedName>
    <definedName name="FDD_58_125">"A35219"</definedName>
    <definedName name="FDD_58_126">"A35226"</definedName>
    <definedName name="FDD_58_127">"A35233"</definedName>
    <definedName name="FDD_58_128">"A35240"</definedName>
    <definedName name="FDD_58_129">"A35247"</definedName>
    <definedName name="FDD_58_13">"A35430"</definedName>
    <definedName name="FDD_58_130">"A35254"</definedName>
    <definedName name="FDD_58_131">"A35261"</definedName>
    <definedName name="FDD_58_132">"A35268"</definedName>
    <definedName name="FDD_58_133">"A35275"</definedName>
    <definedName name="FDD_58_134">"A35282"</definedName>
    <definedName name="FDD_58_135">"A35289"</definedName>
    <definedName name="FDD_58_136">"A35296"</definedName>
    <definedName name="FDD_58_137">"A35303"</definedName>
    <definedName name="FDD_58_138">"A35310"</definedName>
    <definedName name="FDD_58_139">"A35317"</definedName>
    <definedName name="FDD_58_14">"A35795"</definedName>
    <definedName name="FDD_58_140">"A35324"</definedName>
    <definedName name="FDD_58_141">"A35331"</definedName>
    <definedName name="FDD_58_142">"A35338"</definedName>
    <definedName name="FDD_58_143">"A35345"</definedName>
    <definedName name="FDD_58_144">"A35352"</definedName>
    <definedName name="FDD_58_145">"A35359"</definedName>
    <definedName name="FDD_58_146">"A35366"</definedName>
    <definedName name="FDD_58_147">"A35373"</definedName>
    <definedName name="FDD_58_148">"A35380"</definedName>
    <definedName name="FDD_58_149">"A35387"</definedName>
    <definedName name="FDD_58_15">"A34449"</definedName>
    <definedName name="FDD_58_150">"A35394"</definedName>
    <definedName name="FDD_58_151">"A35401"</definedName>
    <definedName name="FDD_58_152">"A35408"</definedName>
    <definedName name="FDD_58_153">"A35415"</definedName>
    <definedName name="FDD_58_154">"A35422"</definedName>
    <definedName name="FDD_58_155">"A35429"</definedName>
    <definedName name="FDD_58_156">"A35436"</definedName>
    <definedName name="FDD_58_157">"A35443"</definedName>
    <definedName name="FDD_58_158">"A35450"</definedName>
    <definedName name="FDD_58_159">"A35457"</definedName>
    <definedName name="FDD_58_16">"A34456"</definedName>
    <definedName name="FDD_58_160">"A35464"</definedName>
    <definedName name="FDD_58_161">"A35471"</definedName>
    <definedName name="FDD_58_162">"A35478"</definedName>
    <definedName name="FDD_58_163">"A35485"</definedName>
    <definedName name="FDD_58_164">"A35492"</definedName>
    <definedName name="FDD_58_165">"A35499"</definedName>
    <definedName name="FDD_58_166">"A35506"</definedName>
    <definedName name="FDD_58_167">"A35513"</definedName>
    <definedName name="FDD_58_168">"A35520"</definedName>
    <definedName name="FDD_58_169">"A35527"</definedName>
    <definedName name="FDD_58_17">"A34463"</definedName>
    <definedName name="FDD_58_170">"A35534"</definedName>
    <definedName name="FDD_58_171">"A35541"</definedName>
    <definedName name="FDD_58_172">"A35548"</definedName>
    <definedName name="FDD_58_173">"A35555"</definedName>
    <definedName name="FDD_58_174">"A35562"</definedName>
    <definedName name="FDD_58_175">"A35569"</definedName>
    <definedName name="FDD_58_176">"A35576"</definedName>
    <definedName name="FDD_58_177">"A35583"</definedName>
    <definedName name="FDD_58_178">"A35590"</definedName>
    <definedName name="FDD_58_179">"A35597"</definedName>
    <definedName name="FDD_58_18">"A34470"</definedName>
    <definedName name="FDD_58_180">"A35604"</definedName>
    <definedName name="FDD_58_181">"A35611"</definedName>
    <definedName name="FDD_58_182">"A35618"</definedName>
    <definedName name="FDD_58_183">"A35625"</definedName>
    <definedName name="FDD_58_184">"A35632"</definedName>
    <definedName name="FDD_58_185">"A35639"</definedName>
    <definedName name="FDD_58_186">"A35646"</definedName>
    <definedName name="FDD_58_187">"A35653"</definedName>
    <definedName name="FDD_58_188">"A35660"</definedName>
    <definedName name="FDD_58_189">"A35667"</definedName>
    <definedName name="FDD_58_19">"A34477"</definedName>
    <definedName name="FDD_58_190">"A35674"</definedName>
    <definedName name="FDD_58_191">"A35681"</definedName>
    <definedName name="FDD_58_192">"A35688"</definedName>
    <definedName name="FDD_58_193">"A35695"</definedName>
    <definedName name="FDD_58_194">"A35702"</definedName>
    <definedName name="FDD_58_195">"A35709"</definedName>
    <definedName name="FDD_58_196">"A35716"</definedName>
    <definedName name="FDD_58_197">"A35723"</definedName>
    <definedName name="FDD_58_198">"A35730"</definedName>
    <definedName name="FDD_58_199">"A35737"</definedName>
    <definedName name="FDD_58_2">"A31412"</definedName>
    <definedName name="FDD_58_20">"A34484"</definedName>
    <definedName name="FDD_58_200">"A35744"</definedName>
    <definedName name="FDD_58_201">"A35751"</definedName>
    <definedName name="FDD_58_202">"A35758"</definedName>
    <definedName name="FDD_58_203">"A35765"</definedName>
    <definedName name="FDD_58_204">"A35772"</definedName>
    <definedName name="FDD_58_205">"A35779"</definedName>
    <definedName name="FDD_58_206">"A35786"</definedName>
    <definedName name="FDD_58_207">"A35793"</definedName>
    <definedName name="FDD_58_208">"A35800"</definedName>
    <definedName name="FDD_58_209">"A35807"</definedName>
    <definedName name="FDD_58_21">"A34491"</definedName>
    <definedName name="FDD_58_210">"A35814"</definedName>
    <definedName name="FDD_58_211">"A35821"</definedName>
    <definedName name="FDD_58_212">"A35828"</definedName>
    <definedName name="FDD_58_213">"A35835"</definedName>
    <definedName name="FDD_58_214">"A35842"</definedName>
    <definedName name="FDD_58_215">"A35849"</definedName>
    <definedName name="FDD_58_216">"A35856"</definedName>
    <definedName name="FDD_58_217">"A35863"</definedName>
    <definedName name="FDD_58_218">"A35870"</definedName>
    <definedName name="FDD_58_219">"A35877"</definedName>
    <definedName name="FDD_58_22">"A34498"</definedName>
    <definedName name="FDD_58_220">"A35884"</definedName>
    <definedName name="FDD_58_221">"A35891"</definedName>
    <definedName name="FDD_58_222">"A35898"</definedName>
    <definedName name="FDD_58_223">"A35905"</definedName>
    <definedName name="FDD_58_224">"A35912"</definedName>
    <definedName name="FDD_58_225">"A35919"</definedName>
    <definedName name="FDD_58_226">"A35926"</definedName>
    <definedName name="FDD_58_227">"A35933"</definedName>
    <definedName name="FDD_58_228">"A35940"</definedName>
    <definedName name="FDD_58_229">"A35947"</definedName>
    <definedName name="FDD_58_23">"A34505"</definedName>
    <definedName name="FDD_58_230">"A35954"</definedName>
    <definedName name="FDD_58_231">"A35961"</definedName>
    <definedName name="FDD_58_232">"A35968"</definedName>
    <definedName name="FDD_58_233">"A35975"</definedName>
    <definedName name="FDD_58_234">"A35982"</definedName>
    <definedName name="FDD_58_235">"A35989"</definedName>
    <definedName name="FDD_58_236">"A35996"</definedName>
    <definedName name="FDD_58_237">"A36003"</definedName>
    <definedName name="FDD_58_238">"A36010"</definedName>
    <definedName name="FDD_58_239">"A36017"</definedName>
    <definedName name="FDD_58_24">"A34512"</definedName>
    <definedName name="FDD_58_240">"A36024"</definedName>
    <definedName name="FDD_58_241">"A36031"</definedName>
    <definedName name="FDD_58_242">"A36038"</definedName>
    <definedName name="FDD_58_243">"A36045"</definedName>
    <definedName name="FDD_58_244">"A36052"</definedName>
    <definedName name="FDD_58_245">"A36059"</definedName>
    <definedName name="FDD_58_246">"A36066"</definedName>
    <definedName name="FDD_58_247">"A36073"</definedName>
    <definedName name="FDD_58_248">"A36080"</definedName>
    <definedName name="FDD_58_249">"A36087"</definedName>
    <definedName name="FDD_58_25">"A34519"</definedName>
    <definedName name="FDD_58_250">"A36094"</definedName>
    <definedName name="FDD_58_251">"A36101"</definedName>
    <definedName name="FDD_58_252">"A36108"</definedName>
    <definedName name="FDD_58_253">"A36115"</definedName>
    <definedName name="FDD_58_254">"A36122"</definedName>
    <definedName name="FDD_58_255">"A36129"</definedName>
    <definedName name="FDD_58_256">"A36136"</definedName>
    <definedName name="FDD_58_257">"A36143"</definedName>
    <definedName name="FDD_58_258">"A36150"</definedName>
    <definedName name="FDD_58_259">"A36157"</definedName>
    <definedName name="FDD_58_26">"A34526"</definedName>
    <definedName name="FDD_58_260">"A36164"</definedName>
    <definedName name="FDD_58_27">"A34533"</definedName>
    <definedName name="FDD_58_28">"A34540"</definedName>
    <definedName name="FDD_58_29">"A34547"</definedName>
    <definedName name="FDD_58_3">"A31777"</definedName>
    <definedName name="FDD_58_30">"A34554"</definedName>
    <definedName name="FDD_58_31">"A34561"</definedName>
    <definedName name="FDD_58_32">"A34568"</definedName>
    <definedName name="FDD_58_33">"A34575"</definedName>
    <definedName name="FDD_58_34">"A34582"</definedName>
    <definedName name="FDD_58_35">"A34589"</definedName>
    <definedName name="FDD_58_36">"A34596"</definedName>
    <definedName name="FDD_58_37">"A34603"</definedName>
    <definedName name="FDD_58_38">"A34610"</definedName>
    <definedName name="FDD_58_39">"A34617"</definedName>
    <definedName name="FDD_58_4">"A32142"</definedName>
    <definedName name="FDD_58_40">"A34624"</definedName>
    <definedName name="FDD_58_41">"A34631"</definedName>
    <definedName name="FDD_58_42">"A34638"</definedName>
    <definedName name="FDD_58_43">"A34645"</definedName>
    <definedName name="FDD_58_44">"A34652"</definedName>
    <definedName name="FDD_58_45">"A34659"</definedName>
    <definedName name="FDD_58_46">"A34666"</definedName>
    <definedName name="FDD_58_47">"A34673"</definedName>
    <definedName name="FDD_58_48">"A34680"</definedName>
    <definedName name="FDD_58_49">"A34687"</definedName>
    <definedName name="FDD_58_5">"A32508"</definedName>
    <definedName name="FDD_58_50">"A34694"</definedName>
    <definedName name="FDD_58_51">"A34701"</definedName>
    <definedName name="FDD_58_52">"A34708"</definedName>
    <definedName name="FDD_58_53">"A34715"</definedName>
    <definedName name="FDD_58_54">"A34722"</definedName>
    <definedName name="FDD_58_55">"A34729"</definedName>
    <definedName name="FDD_58_56">"A34736"</definedName>
    <definedName name="FDD_58_57">"A34743"</definedName>
    <definedName name="FDD_58_58">"A34750"</definedName>
    <definedName name="FDD_58_59">"A34757"</definedName>
    <definedName name="FDD_58_6">"A32873"</definedName>
    <definedName name="FDD_58_60">"A34764"</definedName>
    <definedName name="FDD_58_61">"A34771"</definedName>
    <definedName name="FDD_58_62">"A34778"</definedName>
    <definedName name="FDD_58_63">"A34785"</definedName>
    <definedName name="FDD_58_64">"A34792"</definedName>
    <definedName name="FDD_58_65">"A34799"</definedName>
    <definedName name="FDD_58_66">"A34806"</definedName>
    <definedName name="FDD_58_67">"A34813"</definedName>
    <definedName name="FDD_58_68">"A34820"</definedName>
    <definedName name="FDD_58_69">"A34827"</definedName>
    <definedName name="FDD_58_7">"A33238"</definedName>
    <definedName name="FDD_58_70">"A34834"</definedName>
    <definedName name="FDD_58_71">"A34841"</definedName>
    <definedName name="FDD_58_72">"A34848"</definedName>
    <definedName name="FDD_58_73">"A34855"</definedName>
    <definedName name="FDD_58_74">"A34862"</definedName>
    <definedName name="FDD_58_75">"A34869"</definedName>
    <definedName name="FDD_58_76">"A34876"</definedName>
    <definedName name="FDD_58_77">"A34883"</definedName>
    <definedName name="FDD_58_78">"A34890"</definedName>
    <definedName name="FDD_58_79">"A34897"</definedName>
    <definedName name="FDD_58_8">"A33603"</definedName>
    <definedName name="FDD_58_80">"A34904"</definedName>
    <definedName name="FDD_58_81">"A34911"</definedName>
    <definedName name="FDD_58_82">"A34918"</definedName>
    <definedName name="FDD_58_83">"A34925"</definedName>
    <definedName name="FDD_58_84">"A34932"</definedName>
    <definedName name="FDD_58_85">"A34939"</definedName>
    <definedName name="FDD_58_86">"A34946"</definedName>
    <definedName name="FDD_58_87">"A34953"</definedName>
    <definedName name="FDD_58_88">"A34960"</definedName>
    <definedName name="FDD_58_89">"A34967"</definedName>
    <definedName name="FDD_58_9">"A33969"</definedName>
    <definedName name="FDD_58_90">"A34974"</definedName>
    <definedName name="FDD_58_91">"A34981"</definedName>
    <definedName name="FDD_58_92">"A34988"</definedName>
    <definedName name="FDD_58_93">"A34995"</definedName>
    <definedName name="FDD_58_94">"A35002"</definedName>
    <definedName name="FDD_58_95">"A35009"</definedName>
    <definedName name="FDD_58_96">"A35016"</definedName>
    <definedName name="FDD_58_97">"A35023"</definedName>
    <definedName name="FDD_58_98">"A35030"</definedName>
    <definedName name="FDD_58_99">"A35037"</definedName>
    <definedName name="FDD_59_0">"A30681"</definedName>
    <definedName name="FDD_59_1">"A31047"</definedName>
    <definedName name="FDD_59_10">"A34334"</definedName>
    <definedName name="FDD_59_100">"A35044"</definedName>
    <definedName name="FDD_59_101">"A35051"</definedName>
    <definedName name="FDD_59_102">"A35059"</definedName>
    <definedName name="FDD_59_103">"A35065"</definedName>
    <definedName name="FDD_59_104">"A35072"</definedName>
    <definedName name="FDD_59_105">"A35079"</definedName>
    <definedName name="FDD_59_106">"A35086"</definedName>
    <definedName name="FDD_59_107">"A35093"</definedName>
    <definedName name="FDD_59_108">"A35100"</definedName>
    <definedName name="FDD_59_109">"A35107"</definedName>
    <definedName name="FDD_59_11">"A34699"</definedName>
    <definedName name="FDD_59_110">"A35114"</definedName>
    <definedName name="FDD_59_111">"A35121"</definedName>
    <definedName name="FDD_59_112">"A35128"</definedName>
    <definedName name="FDD_59_113">"A35135"</definedName>
    <definedName name="FDD_59_114">"A35141"</definedName>
    <definedName name="FDD_59_115">"A35149"</definedName>
    <definedName name="FDD_59_116">"A35156"</definedName>
    <definedName name="FDD_59_117">"A35163"</definedName>
    <definedName name="FDD_59_118">"A35170"</definedName>
    <definedName name="FDD_59_119">"A35177"</definedName>
    <definedName name="FDD_59_12">"A35064"</definedName>
    <definedName name="FDD_59_120">"A35184"</definedName>
    <definedName name="FDD_59_121">"A35192"</definedName>
    <definedName name="FDD_59_122">"A35198"</definedName>
    <definedName name="FDD_59_123">"A35205"</definedName>
    <definedName name="FDD_59_124">"A35213"</definedName>
    <definedName name="FDD_59_125">"A35219"</definedName>
    <definedName name="FDD_59_126">"A35226"</definedName>
    <definedName name="FDD_59_127">"A35233"</definedName>
    <definedName name="FDD_59_128">"A35240"</definedName>
    <definedName name="FDD_59_129">"A35247"</definedName>
    <definedName name="FDD_59_13">"A35430"</definedName>
    <definedName name="FDD_59_130">"A35254"</definedName>
    <definedName name="FDD_59_131">"A35261"</definedName>
    <definedName name="FDD_59_132">"A35268"</definedName>
    <definedName name="FDD_59_133">"A35275"</definedName>
    <definedName name="FDD_59_134">"A35282"</definedName>
    <definedName name="FDD_59_135">"A35289"</definedName>
    <definedName name="FDD_59_136">"A35296"</definedName>
    <definedName name="FDD_59_137">"A35303"</definedName>
    <definedName name="FDD_59_138">"A35310"</definedName>
    <definedName name="FDD_59_139">"A35317"</definedName>
    <definedName name="FDD_59_14">"A35795"</definedName>
    <definedName name="FDD_59_140">"A35324"</definedName>
    <definedName name="FDD_59_141">"A35331"</definedName>
    <definedName name="FDD_59_142">"A35338"</definedName>
    <definedName name="FDD_59_143">"A35345"</definedName>
    <definedName name="FDD_59_144">"A35352"</definedName>
    <definedName name="FDD_59_145">"A35359"</definedName>
    <definedName name="FDD_59_146">"A35366"</definedName>
    <definedName name="FDD_59_147">"A35373"</definedName>
    <definedName name="FDD_59_148">"A35380"</definedName>
    <definedName name="FDD_59_149">"A35387"</definedName>
    <definedName name="FDD_59_15">"A34449"</definedName>
    <definedName name="FDD_59_150">"A35394"</definedName>
    <definedName name="FDD_59_151">"A35401"</definedName>
    <definedName name="FDD_59_152">"A35408"</definedName>
    <definedName name="FDD_59_153">"A35415"</definedName>
    <definedName name="FDD_59_154">"A35422"</definedName>
    <definedName name="FDD_59_155">"A35429"</definedName>
    <definedName name="FDD_59_156">"A35436"</definedName>
    <definedName name="FDD_59_157">"A35443"</definedName>
    <definedName name="FDD_59_158">"A35450"</definedName>
    <definedName name="FDD_59_159">"A35457"</definedName>
    <definedName name="FDD_59_16">"A34457"</definedName>
    <definedName name="FDD_59_160">"A35464"</definedName>
    <definedName name="FDD_59_161">"A35471"</definedName>
    <definedName name="FDD_59_162">"A35478"</definedName>
    <definedName name="FDD_59_163">"A35485"</definedName>
    <definedName name="FDD_59_164">"A35492"</definedName>
    <definedName name="FDD_59_165">"A35499"</definedName>
    <definedName name="FDD_59_166">"A35506"</definedName>
    <definedName name="FDD_59_167">"A35513"</definedName>
    <definedName name="FDD_59_168">"A35521"</definedName>
    <definedName name="FDD_59_169">"A35527"</definedName>
    <definedName name="FDD_59_17">"A34463"</definedName>
    <definedName name="FDD_59_170">"A35534"</definedName>
    <definedName name="FDD_59_171">"A35541"</definedName>
    <definedName name="FDD_59_172">"A35548"</definedName>
    <definedName name="FDD_59_173">"A35556"</definedName>
    <definedName name="FDD_59_174">"A35562"</definedName>
    <definedName name="FDD_59_175">"A35569"</definedName>
    <definedName name="FDD_59_176">"A35577"</definedName>
    <definedName name="FDD_59_177">"A35583"</definedName>
    <definedName name="FDD_59_178">"A35590"</definedName>
    <definedName name="FDD_59_179">"A35597"</definedName>
    <definedName name="FDD_59_18">"A34470"</definedName>
    <definedName name="FDD_59_180">"A35604"</definedName>
    <definedName name="FDD_59_181">"A35611"</definedName>
    <definedName name="FDD_59_182">"A35618"</definedName>
    <definedName name="FDD_59_183">"A35625"</definedName>
    <definedName name="FDD_59_184">"A35632"</definedName>
    <definedName name="FDD_59_185">"A35639"</definedName>
    <definedName name="FDD_59_186">"A35646"</definedName>
    <definedName name="FDD_59_187">"A35653"</definedName>
    <definedName name="FDD_59_188">"A35660"</definedName>
    <definedName name="FDD_59_189">"A35668"</definedName>
    <definedName name="FDD_59_19">"A34477"</definedName>
    <definedName name="FDD_59_190">"A35674"</definedName>
    <definedName name="FDD_59_191">"A35681"</definedName>
    <definedName name="FDD_59_192">"A35688"</definedName>
    <definedName name="FDD_59_193">"A35695"</definedName>
    <definedName name="FDD_59_194">"A35702"</definedName>
    <definedName name="FDD_59_195">"A35709"</definedName>
    <definedName name="FDD_59_196">"A35716"</definedName>
    <definedName name="FDD_59_197">"A35723"</definedName>
    <definedName name="FDD_59_198">"A35730"</definedName>
    <definedName name="FDD_59_199">"A35737"</definedName>
    <definedName name="FDD_59_2">"A31412"</definedName>
    <definedName name="FDD_59_20">"A34485"</definedName>
    <definedName name="FDD_59_200">"A35744"</definedName>
    <definedName name="FDD_59_201">"A35751"</definedName>
    <definedName name="FDD_59_202">"A35758"</definedName>
    <definedName name="FDD_59_203">"A35765"</definedName>
    <definedName name="FDD_59_204">"A35772"</definedName>
    <definedName name="FDD_59_205">"A35779"</definedName>
    <definedName name="FDD_59_206">"A35786"</definedName>
    <definedName name="FDD_59_207">"A35793"</definedName>
    <definedName name="FDD_59_208">"A35800"</definedName>
    <definedName name="FDD_59_209">"A35807"</definedName>
    <definedName name="FDD_59_21">"A34491"</definedName>
    <definedName name="FDD_59_210">"A35814"</definedName>
    <definedName name="FDD_59_211">"A35821"</definedName>
    <definedName name="FDD_59_212">"A35828"</definedName>
    <definedName name="FDD_59_213">"A35835"</definedName>
    <definedName name="FDD_59_214">"A35842"</definedName>
    <definedName name="FDD_59_215">"A35849"</definedName>
    <definedName name="FDD_59_216">"A35856"</definedName>
    <definedName name="FDD_59_217">"A35863"</definedName>
    <definedName name="FDD_59_218">"A35870"</definedName>
    <definedName name="FDD_59_219">"A35877"</definedName>
    <definedName name="FDD_59_22">"A34498"</definedName>
    <definedName name="FDD_59_220">"A35884"</definedName>
    <definedName name="FDD_59_221">"A35891"</definedName>
    <definedName name="FDD_59_222">"A35899"</definedName>
    <definedName name="FDD_59_223">"A35905"</definedName>
    <definedName name="FDD_59_224">"A35912"</definedName>
    <definedName name="FDD_59_225">"A35919"</definedName>
    <definedName name="FDD_59_226">"A35926"</definedName>
    <definedName name="FDD_59_227">"A35933"</definedName>
    <definedName name="FDD_59_228">"A35941"</definedName>
    <definedName name="FDD_59_229">"A35947"</definedName>
    <definedName name="FDD_59_23">"A34505"</definedName>
    <definedName name="FDD_59_230">"A35954"</definedName>
    <definedName name="FDD_59_231">"A35961"</definedName>
    <definedName name="FDD_59_232">"A35968"</definedName>
    <definedName name="FDD_59_233">"A35975"</definedName>
    <definedName name="FDD_59_234">"A35982"</definedName>
    <definedName name="FDD_59_235">"A35989"</definedName>
    <definedName name="FDD_59_236">"A35996"</definedName>
    <definedName name="FDD_59_237">"A36003"</definedName>
    <definedName name="FDD_59_238">"A36010"</definedName>
    <definedName name="FDD_59_239">"A36017"</definedName>
    <definedName name="FDD_59_24">"A34512"</definedName>
    <definedName name="FDD_59_240">"A36024"</definedName>
    <definedName name="FDD_59_241">"A36031"</definedName>
    <definedName name="FDD_59_242">"A36039"</definedName>
    <definedName name="FDD_59_243">"A36045"</definedName>
    <definedName name="FDD_59_244">"A36052"</definedName>
    <definedName name="FDD_59_245">"A36059"</definedName>
    <definedName name="FDD_59_246">"A36066"</definedName>
    <definedName name="FDD_59_247">"A36073"</definedName>
    <definedName name="FDD_59_248">"A36080"</definedName>
    <definedName name="FDD_59_249">"A36087"</definedName>
    <definedName name="FDD_59_25">"A34519"</definedName>
    <definedName name="FDD_59_250">"A36094"</definedName>
    <definedName name="FDD_59_251">"A36101"</definedName>
    <definedName name="FDD_59_252">"A36108"</definedName>
    <definedName name="FDD_59_253">"A36116"</definedName>
    <definedName name="FDD_59_254">"A36122"</definedName>
    <definedName name="FDD_59_255">"A36129"</definedName>
    <definedName name="FDD_59_256">"A36136"</definedName>
    <definedName name="FDD_59_257">"A36143"</definedName>
    <definedName name="FDD_59_258">"A36150"</definedName>
    <definedName name="FDD_59_259">"A36157"</definedName>
    <definedName name="FDD_59_26">"A34526"</definedName>
    <definedName name="FDD_59_260">"A36164"</definedName>
    <definedName name="FDD_59_27">"A34533"</definedName>
    <definedName name="FDD_59_28">"A34540"</definedName>
    <definedName name="FDD_59_29">"A34547"</definedName>
    <definedName name="FDD_59_3">"A31777"</definedName>
    <definedName name="FDD_59_30">"A34554"</definedName>
    <definedName name="FDD_59_31">"A34561"</definedName>
    <definedName name="FDD_59_32">"A34568"</definedName>
    <definedName name="FDD_59_33">"A34576"</definedName>
    <definedName name="FDD_59_34">"A34582"</definedName>
    <definedName name="FDD_59_35">"A34589"</definedName>
    <definedName name="FDD_59_36">"A34596"</definedName>
    <definedName name="FDD_59_37">"A34603"</definedName>
    <definedName name="FDD_59_38">"A34610"</definedName>
    <definedName name="FDD_59_39">"A34617"</definedName>
    <definedName name="FDD_59_4">"A32142"</definedName>
    <definedName name="FDD_59_40">"A34624"</definedName>
    <definedName name="FDD_59_41">"A34631"</definedName>
    <definedName name="FDD_59_42">"A34638"</definedName>
    <definedName name="FDD_59_43">"A34645"</definedName>
    <definedName name="FDD_59_44">"A34652"</definedName>
    <definedName name="FDD_59_45">"A34659"</definedName>
    <definedName name="FDD_59_46">"A34666"</definedName>
    <definedName name="FDD_59_47">"A34673"</definedName>
    <definedName name="FDD_59_48">"A34680"</definedName>
    <definedName name="FDD_59_49">"A34687"</definedName>
    <definedName name="FDD_59_5">"A32508"</definedName>
    <definedName name="FDD_59_50">"A34696"</definedName>
    <definedName name="FDD_59_51">"A34702"</definedName>
    <definedName name="FDD_59_52">"A34708"</definedName>
    <definedName name="FDD_59_53">"A34715"</definedName>
    <definedName name="FDD_59_54">"A34722"</definedName>
    <definedName name="FDD_59_55">"A34729"</definedName>
    <definedName name="FDD_59_56">"A34736"</definedName>
    <definedName name="FDD_59_57">"A34743"</definedName>
    <definedName name="FDD_59_58">"A34750"</definedName>
    <definedName name="FDD_59_59">"A34757"</definedName>
    <definedName name="FDD_59_6">"A32873"</definedName>
    <definedName name="FDD_59_60">"A34764"</definedName>
    <definedName name="FDD_59_61">"A34771"</definedName>
    <definedName name="FDD_59_62">"A34778"</definedName>
    <definedName name="FDD_59_63">"A34785"</definedName>
    <definedName name="FDD_59_64">"A34792"</definedName>
    <definedName name="FDD_59_65">"A34799"</definedName>
    <definedName name="FDD_59_66">"A34807"</definedName>
    <definedName name="FDD_59_67">"A34813"</definedName>
    <definedName name="FDD_59_68">"A34820"</definedName>
    <definedName name="FDD_59_69">"A34828"</definedName>
    <definedName name="FDD_59_7">"A33238"</definedName>
    <definedName name="FDD_59_70">"A34834"</definedName>
    <definedName name="FDD_59_71">"A34841"</definedName>
    <definedName name="FDD_59_72">"A34848"</definedName>
    <definedName name="FDD_59_73">"A34855"</definedName>
    <definedName name="FDD_59_74">"A34862"</definedName>
    <definedName name="FDD_59_75">"A34870"</definedName>
    <definedName name="FDD_59_76">"A34876"</definedName>
    <definedName name="FDD_59_77">"A34883"</definedName>
    <definedName name="FDD_59_78">"A34891"</definedName>
    <definedName name="FDD_59_79">"A34897"</definedName>
    <definedName name="FDD_59_8">"A33603"</definedName>
    <definedName name="FDD_59_80">"A34904"</definedName>
    <definedName name="FDD_59_81">"A34911"</definedName>
    <definedName name="FDD_59_82">"A34918"</definedName>
    <definedName name="FDD_59_83">"A34925"</definedName>
    <definedName name="FDD_59_84">"A34932"</definedName>
    <definedName name="FDD_59_85">"A34940"</definedName>
    <definedName name="FDD_59_86">"A34946"</definedName>
    <definedName name="FDD_59_87">"A34953"</definedName>
    <definedName name="FDD_59_88">"A34960"</definedName>
    <definedName name="FDD_59_89">"A34967"</definedName>
    <definedName name="FDD_59_9">"A33969"</definedName>
    <definedName name="FDD_59_90">"A34974"</definedName>
    <definedName name="FDD_59_91">"A34981"</definedName>
    <definedName name="FDD_59_92">"A34988"</definedName>
    <definedName name="FDD_59_93">"A34995"</definedName>
    <definedName name="FDD_59_94">"A35002"</definedName>
    <definedName name="FDD_59_95">"A35009"</definedName>
    <definedName name="FDD_59_96">"A35016"</definedName>
    <definedName name="FDD_59_97">"A35023"</definedName>
    <definedName name="FDD_59_98">"A35030"</definedName>
    <definedName name="FDD_59_99">"A35037"</definedName>
    <definedName name="FDD_6_0">"A25569"</definedName>
    <definedName name="FDD_6_1">"A35795"</definedName>
    <definedName name="FDD_6_2">"E36160"</definedName>
    <definedName name="FDD_6_3">"E36525"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_1">"E35795"</definedName>
    <definedName name="FDD_7_2">"E36160"</definedName>
    <definedName name="FDD_7_3">"E36525"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_1">"E35795"</definedName>
    <definedName name="FDD_8_2">"E36160"</definedName>
    <definedName name="FDD_8_3">"E36525"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_1">"E35795"</definedName>
    <definedName name="FDD_9_2">"E36160"</definedName>
    <definedName name="FDD_9_3">"E36525"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dfas">{"Final",#N/A,FALSE,"Feb-96"}</definedName>
    <definedName name="FDFDFD">{"Units A",#N/A,FALSE,"FY95SLS";"Units B",#N/A,FALSE,"FY95SLS"}</definedName>
    <definedName name="fdfghdf">{"inputs raw data",#N/A,TRUE,"INPUT"}</definedName>
    <definedName name="fdg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fdgsdf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fdgwery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fds">{#N/A,#N/A,TRUE,"Forecast";#N/A,#N/A,TRUE,"ForecastMnthly";#N/A,#N/A,TRUE,"ForecastQtrly";#N/A,#N/A,TRUE,"Actual"}</definedName>
    <definedName name="fdsafsd">{"histincome",#N/A,FALSE,"hyfins";"closing balance",#N/A,FALSE,"hyfins"}</definedName>
    <definedName name="fdsfds">{#N/A,#N/A,FALSE,"Receipt Sums";#N/A,#N/A,FALSE,"Disburse Sums";"Rec Dtl",#N/A,FALSE,"Rec Main";"Rec Sched",#N/A,FALSE,"Rec Main";"Rec Static",#N/A,FALSE,"Rec Static";"Corp Dtl",#N/A,FALSE,"Corp - Frcst";"Corp Sched",#N/A,FALSE,"Corp - Frcst";"SW Sched",#N/A,FALSE,"S&amp;W - Frcst";"Office Dtl",#N/A,FALSE,"Office - Frcst";"Office Sched",#N/A,FALSE,"Office - Frcst"}</definedName>
    <definedName name="fefe">{#N/A,#N/A,FALSE,"FINBILD";#N/A,#N/A,FALSE,"BALANSR";#N/A,#N/A,FALSE,"FINANSIERING";#N/A,#N/A,FALSE,"VERKAO13";#N/A,#N/A,FALSE,"VERKAO12";#N/A,#N/A,FALSE,"VERKAO11";#N/A,#N/A,FALSE,"INTLEVER";#N/A,#N/A,FALSE,"RESAFFO";#N/A,#N/A,FALSE,"PERKVART";#N/A,#N/A,FALSE,"RESKONC"}</definedName>
    <definedName name="ff">{#N/A,#N/A,FALSE,"PERSONAL";#N/A,#N/A,FALSE,"explotación";#N/A,#N/A,FALSE,"generales"}</definedName>
    <definedName name="ffa">{"histincome",#N/A,FALSE,"hyfins";"closing balance",#N/A,FALSE,"hyfins"}</definedName>
    <definedName name="ffdas">{"histincome",#N/A,FALSE,"hyfins";"closing balance",#N/A,FALSE,"hyfins"}</definedName>
    <definedName name="ffdsafd">{#N/A,#N/A,TRUE,"Top";#N/A,#N/A,TRUE,"Quarter";#N/A,#N/A,TRUE,"Variance"}</definedName>
    <definedName name="fff">{"001Blank",#N/A,TRUE,"Blank";"002SSMC_DL_1",#N/A,TRUE,"SSMC(DL's breakout)";"002SSMC_DL_2",#N/A,TRUE,"SSMC(DL's breakout)";"003SSMC_YTD",#N/A,TRUE,"SSMC";"022Opn_CMth",#N/A,TRUE,"OPN";"023Opn_YTD",#N/A,TRUE,"OPN"}</definedName>
    <definedName name="ffff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fffff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ffffff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ffffffffff">{#N/A,#N/A,FALSE,"PERSONAL";#N/A,#N/A,FALSE,"explotación";#N/A,#N/A,FALSE,"generales"}</definedName>
    <definedName name="fgdfsg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fgfsjgh">{#N/A,#N/A,FALSE,"Aging Summary";#N/A,#N/A,FALSE,"Ratio Analysis";#N/A,#N/A,FALSE,"Test 120 Day Accts";#N/A,#N/A,FALSE,"Tickmarks"}</definedName>
    <definedName name="fghh">{#N/A,#N/A,FALSE,"Valuation Assumptions";#N/A,#N/A,FALSE,"Summary";#N/A,#N/A,FALSE,"DCF";#N/A,#N/A,FALSE,"Valuation";#N/A,#N/A,FALSE,"WACC";#N/A,#N/A,FALSE,"UBVH";#N/A,#N/A,FALSE,"Free Cash Flow"}</definedName>
    <definedName name="fgjfg">{"Pound Sterling",#N/A,TRUE,"PPD";"Pound Sterling",#N/A,TRUE,"Anaquest";"Pound Sterling",#N/A,TRUE,"Delta";"Pound Sterling",#N/A,TRUE,"INO"}</definedName>
    <definedName name="fgjgf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fgjgfj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fgjhat">{"Units A",#N/A,FALSE,"FY95SLS";"Units B",#N/A,FALSE,"FY95SLS"}</definedName>
    <definedName name="fgqerg">{"Pound Sterling",#N/A,TRUE,"PPD";"Pound Sterling",#N/A,TRUE,"Anaquest";"Pound Sterling",#N/A,TRUE,"Delta";"Pound Sterling",#N/A,TRUE,"INO"}</definedName>
    <definedName name="fgsdfg">{"Units A",#N/A,FALSE,"FY95SLS";"Units B",#N/A,FALSE,"FY95SLS"}</definedName>
    <definedName name="fgsdfgdfg">{"US Dollars",#N/A,TRUE,"PPD";"US Dollar",#N/A,TRUE,"Anaquest";"US Dollar",#N/A,TRUE,"Delta";"US Dollar",#N/A,TRUE,"INO"}</definedName>
    <definedName name="fgsdfgf">{"Units A",#N/A,FALSE,"FY95SLS";"Units B",#N/A,FALSE,"FY95SLS"}</definedName>
    <definedName name="fhdfh">{"Units A",#N/A,FALSE,"FY95SLS";"Units B",#N/A,FALSE,"FY95SLS"}</definedName>
    <definedName name="fhgfgh">{"Pound Sterling",#N/A,TRUE,"PPD";"Pound Sterling",#N/A,TRUE,"Anaquest";"Pound Sterling",#N/A,TRUE,"Delta";"Pound Sterling",#N/A,TRUE,"INO"}</definedName>
    <definedName name="ficha">{#N/A,#N/A,FALSE,"campo"}</definedName>
    <definedName name="Fixeddcf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jgfj">{"Units A",#N/A,FALSE,"FY95SLS";"Units B",#N/A,FALSE,"FY95SLS"}</definedName>
    <definedName name="foobar">{#N/A,#N/A,FALSE,"Table of Contents";#N/A,#N/A,FALSE,"Overview";#N/A,#N/A,FALSE,"Data"}</definedName>
    <definedName name="ForecastPeriod">[37]Reference!$C$26:$F$40</definedName>
    <definedName name="ForevsPlan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fs">{"'Directory'!$A$72:$E$91"}</definedName>
    <definedName name="fsa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fsadf">{#N/A,#N/A,TRUE,"Acq-Ass";#N/A,#N/A,TRUE,"Acq-IS";#N/A,#N/A,TRUE,"Acq-BS";#N/A,#N/A,TRUE,"Acq-CF"}</definedName>
    <definedName name="fsd">{#N/A,#N/A,TRUE,"Pivots-Employee";#N/A,"Scenerio2",TRUE,"Assumptions Summary"}</definedName>
    <definedName name="fsda">{"histincome",#N/A,FALSE,"hyfins";"closing balance",#N/A,FALSE,"hyfins"}</definedName>
    <definedName name="fsdafas">{"Final",#N/A,FALSE,"Feb-96"}</definedName>
    <definedName name="fsdf">{#N/A,#N/A,FALSE,"Acq-Val";#N/A,#N/A,FALSE,"Acq-Mult Val"}</definedName>
    <definedName name="fsdfasd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fsdfsdf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fsdgfsdg">{"Pound Sterling",#N/A,TRUE,"PPD";"Pound Sterling",#N/A,TRUE,"Anaquest";"Pound Sterling",#N/A,TRUE,"Delta";"Pound Sterling",#N/A,TRUE,"INO"}</definedName>
    <definedName name="fsfa">{"SchL1",#N/A,FALSE,"Schedules";"SchL2",#N/A,FALSE,"Schedules"}</definedName>
    <definedName name="fsfas">{"'Directory'!$A$72:$E$91"}</definedName>
    <definedName name="ftrbhtrghstr">{#N/A,#N/A,TRUE,"Val - sum";#N/A,#N/A,TRUE,"Val - Sum1";#N/A,#N/A,TRUE,"Val - sum2";#N/A,#N/A,TRUE,"Val - Sum3";#N/A,#N/A,TRUE,"Tar-DCF";#N/A,#N/A,TRUE,"Tar-Val LBO";#N/A,#N/A,TRUE,"Tar-Mult Val"}</definedName>
    <definedName name="fuckme">{"SUMMARY",#N/A,TRUE,"SUMMARY";"compare",#N/A,TRUE,"Vs. Bus Plan";"ratios",#N/A,TRUE,"Ratios";"REVENUE",#N/A,TRUE,"Revenue";"expenses",#N/A,TRUE,"1996 budget";"payroll",#N/A,TRUE,"Payroll"}</definedName>
    <definedName name="FWEg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FX_TOGGLE">[38]Toggles!$I$2</definedName>
    <definedName name="FXCurrencies">[38]Toggles!$H$3:$J$11</definedName>
    <definedName name="gadfga">{"Units A",#N/A,FALSE,"FY95SLS";"Units B",#N/A,FALSE,"FY95SLS"}</definedName>
    <definedName name="gaergteryq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gaf">{#N/A,#N/A,TRUE,"Pivots-Employee";#N/A,"Scenerio2",TRUE,"Assumptions Summary"}</definedName>
    <definedName name="gagrae">{"Units A",#N/A,FALSE,"FY95SLS";"Units B",#N/A,FALSE,"FY95SLS"}</definedName>
    <definedName name="gasdf">{#N/A,#N/A,TRUE,"Acq-Ass";#N/A,#N/A,TRUE,"Acq-IS";#N/A,#N/A,TRUE,"Acq-BS";#N/A,#N/A,TRUE,"Acq-CF"}</definedName>
    <definedName name="gdf">{"Final",#N/A,FALSE,"Feb-96"}</definedName>
    <definedName name="gdfg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gdfgdfg">{#N/A,#N/A,FALSE,"Op-BS";#N/A,#N/A,FALSE,"Assum";#N/A,#N/A,FALSE,"IS";#N/A,#N/A,FALSE,"Syn+Elim";#N/A,#N/A,FALSE,"BSCF";#N/A,#N/A,FALSE,"Blue_IS";#N/A,#N/A,FALSE,"Blue_BSCF";#N/A,#N/A,FALSE,"Ratings"}</definedName>
    <definedName name="gdfgh">{#N/A,#N/A,FALSE,"FY97";#N/A,#N/A,FALSE,"FY98";#N/A,#N/A,FALSE,"FY99";#N/A,#N/A,FALSE,"FY00";#N/A,#N/A,FALSE,"FY01"}</definedName>
    <definedName name="gdfs">{"Units A",#N/A,FALSE,"FY95SLS";"Units B",#N/A,FALSE,"FY95SLS"}</definedName>
    <definedName name="gdsf">{#N/A,#N/A,TRUE,"Pivots-Employee";#N/A,"Scenario1",TRUE,"Assumptions Summary"}</definedName>
    <definedName name="geww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f">{"histincome",#N/A,FALSE,"hyfins";"closing balance",#N/A,FALSE,"hyfins"}</definedName>
    <definedName name="gfbgh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gfbngnhjdf">{"histincome",#N/A,FALSE,"hyfins";"closing balance",#N/A,FALSE,"hyfins"}</definedName>
    <definedName name="gfbnsg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gfdf">{"Units A",#N/A,FALSE,"FY95SLS";"Units B",#N/A,FALSE,"FY95SLS"}</definedName>
    <definedName name="gfdhgfh">{"Units A",#N/A,FALSE,"FY95SLS";"Units B",#N/A,FALSE,"FY95SLS"}</definedName>
    <definedName name="gfg">{"Pound Sterling",#N/A,TRUE,"PPD";"Pound Sterling",#N/A,TRUE,"Anaquest";"Pound Sterling",#N/A,TRUE,"Delta";"Pound Sterling",#N/A,TRUE,"INO"}</definedName>
    <definedName name="gfh">{#N/A,#N/A,FALSE,"FY97";#N/A,#N/A,FALSE,"FY98";#N/A,#N/A,FALSE,"FY99";#N/A,#N/A,FALSE,"FY00";#N/A,#N/A,FALSE,"FY01"}</definedName>
    <definedName name="gfhg">{"'Directory'!$A$72:$E$91"}</definedName>
    <definedName name="gfhraegt">{"Units A",#N/A,FALSE,"FY95SLS";"Units B",#N/A,FALSE,"FY95SLS"}</definedName>
    <definedName name="gfhrhtrhy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gfhs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gfhsdfg">{"US Dollars",#N/A,TRUE,"PPD";"US Dollar",#N/A,TRUE,"Anaquest";"US Dollar",#N/A,TRUE,"Delta";"US Dollar",#N/A,TRUE,"INO"}</definedName>
    <definedName name="gfhwrtht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gfhwth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gfhwthw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gfhwtrh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gfj">{"Pound Sterling",#N/A,TRUE,"PPD";"Pound Sterling",#N/A,TRUE,"Anaquest";"Pound Sterling",#N/A,TRUE,"Delta";"Pound Sterling",#N/A,TRUE,"INO"}</definedName>
    <definedName name="gfjfj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fjgfj">{"US Dollars",#N/A,TRUE,"PPD";"US Dollar",#N/A,TRUE,"Anaquest";"US Dollar",#N/A,TRUE,"Delta";"US Dollar",#N/A,TRUE,"INO"}</definedName>
    <definedName name="gfjgfjgf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gfmjgfj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gfreg">{"Units A",#N/A,FALSE,"FY95SLS";"Units B",#N/A,FALSE,"FY95SLS"}</definedName>
    <definedName name="gfs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gg">{#N/A,#N/A,TRUE,"Overview";#N/A,#N/A,TRUE,"Projections";#N/A,#N/A,TRUE,"Expense Summary";#N/A,#N/A,TRUE,"Revenue Summary";#N/A,#N/A,TRUE,"AOL1";#N/A,#N/A,TRUE,"AOL2";#N/A,#N/A,TRUE,"AOL3";#N/A,#N/A,TRUE,"Web1";#N/A,#N/A,TRUE,"Web2";#N/A,#N/A,TRUE,"Web3";#N/A,#N/A,TRUE,"Permission";#N/A,#N/A,TRUE,"Other Revenue";#N/A,#N/A,TRUE,"Expensens by Line Item"}</definedName>
    <definedName name="ggfhwty">{"Units A",#N/A,FALSE,"FY95SLS";"Units B",#N/A,FALSE,"FY95SLS"}</definedName>
    <definedName name="ggg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gggg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ggggg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GGGH">{"stepel",#N/A,FALSE,"AHFSTEP"}</definedName>
    <definedName name="GGHH">{#N/A,#N/A,FALSE,"ARCYLD"}</definedName>
    <definedName name="ggsdf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h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ghdf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ghf">{"vi1",#N/A,FALSE,"Financial Statements";"vi2",#N/A,FALSE,"Financial Statements";#N/A,#N/A,FALSE,"DCF"}</definedName>
    <definedName name="ghfghgf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ghjdghjty">{"Pound Sterling",#N/A,TRUE,"PPD";"Pound Sterling",#N/A,TRUE,"Anaquest";"Pound Sterling",#N/A,TRUE,"Delta";"Pound Sterling",#N/A,TRUE,"INO"}</definedName>
    <definedName name="ghjeth">{"Pound Sterling",#N/A,TRUE,"PPD";"Pound Sterling",#N/A,TRUE,"Anaquest";"Pound Sterling",#N/A,TRUE,"Delta";"Pound Sterling",#N/A,TRUE,"INO"}</definedName>
    <definedName name="ghjghjtyuu">{"Units A",#N/A,FALSE,"FY95SLS";"Units B",#N/A,FALSE,"FY95SLS"}</definedName>
    <definedName name="ghjnhnnhj">{#N/A,#N/A,FALSE,"Combo-Ass ";#N/A,#N/A,FALSE,"Combo-IS";#N/A,#N/A,FALSE,"Combo-BS";#N/A,#N/A,FALSE,"Combo-CF"}</definedName>
    <definedName name="ghketyk">{"Units A",#N/A,FALSE,"FY95SLS";"Units B",#N/A,FALSE,"FY95SLS"}</definedName>
    <definedName name="ghmkjf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ghs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ghwhth">{"Units A",#N/A,FALSE,"FY95SLS";"Units B",#N/A,FALSE,"FY95SLS"}</definedName>
    <definedName name="ghwrthwrh">{"Pound Sterling",#N/A,TRUE,"PPD";"Pound Sterling",#N/A,TRUE,"Anaquest";"Pound Sterling",#N/A,TRUE,"Delta";"Pound Sterling",#N/A,TRUE,"INO"}</definedName>
    <definedName name="gjdft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gjs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gjty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gjtyu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gkgfyui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gkn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nfnwrh">{"Pound Sterling",#N/A,TRUE,"PPD";"Pound Sterling",#N/A,TRUE,"Anaquest";"Pound Sterling",#N/A,TRUE,"Delta";"Pound Sterling",#N/A,TRUE,"INO"}</definedName>
    <definedName name="gnhjsfh">{"Pound Sterling",#N/A,TRUE,"PPD";"Pound Sterling",#N/A,TRUE,"Anaquest";"Pound Sterling",#N/A,TRUE,"Delta";"Pound Sterling",#N/A,TRUE,"INO"}</definedName>
    <definedName name="gnhtrh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gnmjgfj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gnsfgh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grhwrhtr">{"Pound Sterling",#N/A,TRUE,"PPD";"Pound Sterling",#N/A,TRUE,"Anaquest";"Pound Sterling",#N/A,TRUE,"Delta";"Pound Sterling",#N/A,TRUE,"INO"}</definedName>
    <definedName name="grhwthq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grqgqer">{"Units A",#N/A,FALSE,"FY95SLS";"Units B",#N/A,FALSE,"FY95SLS"}</definedName>
    <definedName name="grtg">{"Units A",#N/A,FALSE,"FY95SLS";"Units B",#N/A,FALSE,"FY95SLS"}</definedName>
    <definedName name="gsd">{"Draft",#N/A,FALSE,"Feb-96"}</definedName>
    <definedName name="gsdf">{#N/A,#N/A,TRUE,"Acq-Ass";#N/A,#N/A,TRUE,"Acq-IS";#N/A,#N/A,TRUE,"Acq-BS";#N/A,#N/A,TRUE,"Acq-CF"}</definedName>
    <definedName name="gsdfdf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gsdfgsdf">{"Agg Output",#N/A,FALSE,"Operational Drivers Output";"NW Output",#N/A,FALSE,"Operational Drivers Output";"South Output",#N/A,FALSE,"Operational Drivers Output";"Central Output",#N/A,FALSE,"Operational Drivers Output"}</definedName>
    <definedName name="gsdfsf">{#N/A,#N/A,TRUE,"Pivots-Employee";#N/A,"Scenerio2",TRUE,"Assumptions Summary"}</definedName>
    <definedName name="gsfdh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localSheetId="0" name="gsfgsfdsg">'[6]Base Mensual'!#REF!</definedName>
    <definedName name="gsfgsfdsg">'[6]Base Mensual'!#REF!</definedName>
    <definedName name="gsgseg">{"Units A",#N/A,FALSE,"FY95SLS";"Units B",#N/A,FALSE,"FY95SLS"}</definedName>
    <definedName name="gsh">{"'Directory'!$A$72:$E$91"}</definedName>
    <definedName name="gshtryt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gsrgr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gtgt">{#N/A,#N/A,FALSE,"FINBILD";#N/A,#N/A,FALSE,"BALANSR";#N/A,#N/A,FALSE,"FINANSIERING";#N/A,#N/A,FALSE,"VERKAO13";#N/A,#N/A,FALSE,"VERKAO12";#N/A,#N/A,FALSE,"VERKAO11";#N/A,#N/A,FALSE,"INTLEVER";#N/A,#N/A,FALSE,"RESAFFO";#N/A,#N/A,FALSE,"PERKVART";#N/A,#N/A,FALSE,"RESKONC"}</definedName>
    <definedName name="gtrh">{"Units A",#N/A,FALSE,"FY95SLS";"Units B",#N/A,FALSE,"FY95SLS"}</definedName>
    <definedName name="ha">{"Reader",#N/A,FALSE,"Summary";"Reader",#N/A,FALSE,"Buildup";"Reader",#N/A,FALSE,"Financials";"Reader",#N/A,FALSE,"Debt &amp; Other"}</definedName>
    <definedName name="Habladas">{#N/A,#N/A,FALSE,"CRDOS";#N/A,#N/A,FALSE,"CBALANCE";#N/A,#N/A,FALSE,"CPR97-1";#N/A,#N/A,FALSE,"CPR98-7 ";#N/A,#N/A,FALSE,"RATIOS";#N/A,#N/A,FALSE,"VENTAS (1)"}</definedName>
    <definedName name="hdfg">{#N/A,#N/A,FALSE,"Combo-Ass ";#N/A,#N/A,FALSE,"Combo-IS";#N/A,#N/A,FALSE,"Combo-BS";#N/A,#N/A,FALSE,"Combo-CF"}</definedName>
    <definedName name="hds">{"Final",#N/A,FALSE,"Feb-96"}</definedName>
    <definedName name="hello">{"Units A",#N/A,FALSE,"FY95SLS";"Units B",#N/A,FALSE,"FY95SLS"}</definedName>
    <definedName name="hf">{"Units A",#N/A,FALSE,"FY95SLS";"Units B",#N/A,FALSE,"FY95SLS"}</definedName>
    <definedName name="hfgfht">{"US Dollars",#N/A,TRUE,"PPD";"US Dollar",#N/A,TRUE,"Anaquest";"US Dollar",#N/A,TRUE,"Delta";"US Dollar",#N/A,TRUE,"INO"}</definedName>
    <definedName name="hgfhfgh">{"Pound Sterling",#N/A,TRUE,"PPD";"Pound Sterling",#N/A,TRUE,"Anaquest";"Pound Sterling",#N/A,TRUE,"Delta";"Pound Sterling",#N/A,TRUE,"INO"}</definedName>
    <definedName name="hgfhwrth">{"Pound Sterling",#N/A,TRUE,"PPD";"Pound Sterling",#N/A,TRUE,"Anaquest";"Pound Sterling",#N/A,TRUE,"Delta";"Pound Sterling",#N/A,TRUE,"INO"}</definedName>
    <definedName name="hgfjfh">{"Agg Output",#N/A,FALSE,"Operational Drivers Output";"NW Output",#N/A,FALSE,"Operational Drivers Output";"South Output",#N/A,FALSE,"Operational Drivers Output";"Central Output",#N/A,FALSE,"Operational Drivers Output"}</definedName>
    <definedName name="hgfsd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hgfshasdf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hghwty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HGJ">{#N/A,#N/A,FALSE,"ARCYLD"}</definedName>
    <definedName localSheetId="0" name="HHH">[21]Sum!#REF!</definedName>
    <definedName name="HHH">[21]Sum!#REF!</definedName>
    <definedName name="hhhh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HIEU">{"'Sheet1'!$L$16"}</definedName>
    <definedName name="hjdg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hjejwrtj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hjgfh">{"Units A",#N/A,FALSE,"FY95SLS";"Units B",#N/A,FALSE,"FY95SLS"}</definedName>
    <definedName name="hjgk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hjhgj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hjhjhj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hjhjhj">{"Units A",#N/A,FALSE,"FY95SLS";"Units B",#N/A,FALSE,"FY95SLS"}</definedName>
    <definedName name="hjhyjy">{"Pound Sterling",#N/A,TRUE,"PPD";"Pound Sterling",#N/A,TRUE,"Anaquest";"Pound Sterling",#N/A,TRUE,"Delta";"Pound Sterling",#N/A,TRUE,"INO"}</definedName>
    <definedName name="hjjhjhj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hjkf">{"Units A",#N/A,FALSE,"FY95SLS";"Units B",#N/A,FALSE,"FY95SLS"}</definedName>
    <definedName name="hjkjlkj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hjkljlj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hjyuk">{"Units A",#N/A,FALSE,"FY95SLS";"Units B",#N/A,FALSE,"FY95SLS"}</definedName>
    <definedName name="HK">{"Reader",#N/A,FALSE,"Summary";"Reader",#N/A,FALSE,"Buildup";"Reader",#N/A,FALSE,"Financials";"Reader",#N/A,FALSE,"Debt &amp; Other"}</definedName>
    <definedName name="hka">{"Reader",#N/A,FALSE,"Summary";"Reader",#N/A,FALSE,"Buildup";"Reader",#N/A,FALSE,"Financials";"Reader",#N/A,FALSE,"Debt &amp; Other"}</definedName>
    <definedName name="hkdfygc">{"US Dollars",#N/A,TRUE,"PPD";"US Dollar",#N/A,TRUE,"Anaquest";"US Dollar",#N/A,TRUE,"Delta";"US Dollar",#N/A,TRUE,"INO"}</definedName>
    <definedName name="hkyk">{"Pound Sterling",#N/A,TRUE,"PPD";"Pound Sterling",#N/A,TRUE,"Anaquest";"Pound Sterling",#N/A,TRUE,"Delta";"Pound Sterling",#N/A,TRUE,"INO"}</definedName>
    <definedName name="hkyukry">{"Units A",#N/A,FALSE,"FY95SLS";"Units B",#N/A,FALSE,"FY95SLS"}</definedName>
    <definedName name="hmtyjh">{"Units A",#N/A,FALSE,"FY95SLS";"Units B",#N/A,FALSE,"FY95SLS"}</definedName>
    <definedName name="hn.ConvertZero1">[39]LTM!$G$461:$J$461,[39]LTM!$G$463:$J$464,[39]LTM!$G$468:$J$469,[39]LTM!$G$473:$J$475,[39]LTM!$G$480:$J$480,[39]LTM!$G$484:$J$485,[39]LTM!$G$490:$J$490,[39]LTM!$G$514:$J$518,[39]LTM!$G$525:$J$526,[39]LTM!$G$532:$J$537</definedName>
    <definedName name="hn.ConvertZero2">[39]LTM!$G$560:$J$560,[39]LTM!$H$590:$J$591,[39]LTM!$H$614:$J$614,[39]LTM!$H$635:$J$636,[39]LTM!$G$676:$J$680,[39]LTM!$G$686:$J$686,[39]LTM!$G$688:$J$694,[39]LTM!$G$681:$J$682</definedName>
    <definedName name="hn.ConvertZero3">[39]LTM!$G$699:$J$706,[39]LTM!$G$710:$J$714,[39]LTM!$G$717:$J$734,[39]LTM!$G$738:$J$738,[39]LTM!$G$745:$J$751</definedName>
    <definedName name="hn.ConvertZero4">[39]LTM!$G$840:$J$840,[39]LTM!$H$1266:$J$1266,[39]LTM!$G$1267:$J$1267,[39]LTM!$G$1454:$J$1461,[39]LTM!$J$1462,[39]LTM!$J$1463,[39]LTM!$G$1468:$J$1469,[39]LTM!$L$1469:$N$1469</definedName>
    <definedName name="hn.ConvertZeroUnhide1">[39]LTM!$G$1469:$J$1469,[39]LTM!$L$1469:$N$1469,[39]LTM!$H$1266:$J$1266</definedName>
    <definedName localSheetId="0" name="hn.Delete015">#REF!,#REF!,#REF!,#REF!,#REF!</definedName>
    <definedName name="hn.Delete015">#REF!,#REF!,#REF!,#REF!,#REF!</definedName>
    <definedName name="hn.DZ_MultByFXRates">[39]DropZone!$B$2:$I$118,[39]DropZone!$B$120:$I$132,[39]DropZone!$B$134:$I$136,[39]DropZone!$B$138:$I$146</definedName>
    <definedName name="hn.dz_ThouToMil">[40]DropZone!$B$2:$I$119,[40]DropZone!$E$120:$I$123,[40]DropZone!$B$124:$I$126,[40]DropZone!$B$131:$I$132,[40]DropZone!$B$137:$I$147</definedName>
    <definedName name="hn.ExtDb">FALSE</definedName>
    <definedName name="hn.LTM_CS">[40]LTM!$H$121:$J$121,[40]LTM!$I$146:$J$146,[40]LTM!$I$151:$J$152,[40]LTM!$I$175:$J$192,[40]LTM!$I$196:$J$197,[40]LTM!$I$204:$J$221</definedName>
    <definedName name="hn.LTM_Misc">[40]LTM!$H$398:$J$407,[40]LTM!$H$413:$J$416,[40]LTM!$H$423:$J$424</definedName>
    <definedName name="hn.LTM_MultByFXRates">[39]LTM!$G$461:$N$477,[39]LTM!$G$480:$N$539,[39]LTM!$G$548:$N$667,[39]LTM!$G$676:$N$1266,[39]LTM!$G$1454:$N$1461,[39]LTM!$G$1463:$N$1465,[39]LTM!$G$1468:$N$1469</definedName>
    <definedName name="hn.ModelType">"DEAL"</definedName>
    <definedName name="hn.ModelVersion">1</definedName>
    <definedName name="hn.MultbyFXRates">[39]LTM!$G$461:$N$477,[39]LTM!$G$480:$N$539,[39]LTM!$G$548:$N$667,[39]LTM!$G$676:$N$1266,[39]LTM!$G$1454:$N$1461,[39]LTM!$G$1463:$N$1465,[39]LTM!$G$1468:$N$1469</definedName>
    <definedName name="hn.MultByFXRates1">[39]LTM!$G$461:$G$477,[39]LTM!$G$480:$G$539,[39]LTM!$G$548:$G$562,[39]LTM!$G$676:$G$840,[39]LTM!$G$1454:$G$1469</definedName>
    <definedName name="hn.MultByFXRates2">[39]LTM!$H$461:$H$477,[39]LTM!$H$480:$H$539,[39]LTM!$H$548:$H$667,[39]LTM!$H$676:$H$1266,[39]LTM!$H$1454:$H$1469</definedName>
    <definedName name="hn.MultByFXRates3">[39]LTM!$I$461:$I$477,[39]LTM!$I$480:$I$539,[39]LTM!$I$548:$I$667,[39]LTM!$I$676:$I$1266,[39]LTM!$I$1454:$I$1469</definedName>
    <definedName name="hn.MultbyFxrates4">[39]LTM!$J$461:$J$477,[39]LTM!$J$480:$J$539,[39]LTM!$J$548:$J$668,[39]LTM!$J$676:$J$1266,[39]LTM!$J$1454:$J$1461,[39]LTM!$J$1463:$J$1465,[39]LTM!$J$1468</definedName>
    <definedName name="hn.multbyfxrates5">[39]LTM!$L$461:$L$477,[39]LTM!$L$480:$L$539,[39]LTM!$L$548:$L$562,[39]LTM!$L$676:$L$840,[39]LTM!$L$1454:$L$1469</definedName>
    <definedName name="hn.multbyfxrates6">[39]LTM!$M$461:$M$477,[39]LTM!$M$480:$M$539,[39]LTM!$M$548:$M$668,[39]LTM!$M$676:$M$1266,[39]LTM!$M$1454:$M$1469</definedName>
    <definedName name="hn.multbyfxrates7">[39]LTM!$N$461:$N$477,[39]LTM!$N$480:$N$539,[39]LTM!$N$548:$N$667,[39]LTM!$N$676:$N$1266,[39]LTM!$N$1454:$N$1469</definedName>
    <definedName name="hn.MultByFXRatesBot1">[39]LTM!$G$676:$G$682,[39]LTM!$G$686,[39]LTM!$G$688:$G$694,[39]LTM!$G$699:$G$706,[39]LTM!$G$710:$G$714,[39]LTM!$G$717:$G$734,[39]LTM!$G$738,[39]LTM!$G$738,[39]LTM!$G$745:$G$751,[39]LTM!$G$840,[39]LTM!$G$1454:$G$1461,[39]LTM!$G$1468:$G$1469</definedName>
    <definedName name="hn.MultByFXRatesBot2">[39]LTM!$H$676:$H$682,[39]LTM!$H$686,[39]LTM!$H$688:$H$694,[39]LTM!$H$699:$H$706,[39]LTM!$H$710:$H$714,[39]LTM!$H$717:$H$734,[39]LTM!$H$738,[39]LTM!$H$745:$H$751,[39]LTM!$H$840,[39]LTM!$H$1266,[39]LTM!$H$1454:$H$1461,[39]LTM!$H$1468:$H$1469</definedName>
    <definedName name="hn.MultByFXRatesBot3">[39]LTM!$I$676:$I$682,[39]LTM!$I$686,[39]LTM!$I$688:$I$694,[39]LTM!$I$699:$I$706,[39]LTM!$I$710:$I$714,[39]LTM!$I$717:$I$734,[39]LTM!$I$738,[39]LTM!$I$745:$I$751,[39]LTM!$I$840,[39]LTM!$I$1266,[39]LTM!$I$1454:$I$1461,[39]LTM!$I$1468:$I$1469</definedName>
    <definedName name="hn.MultByFXRatesBot4">[39]LTM!$J$676:$J$682,[39]LTM!$J$686,[39]LTM!$J$688:$J$694,[39]LTM!$J$699:$J$706,[39]LTM!$J$710:$J$714,[39]LTM!$J$717:$J$734,[39]LTM!$J$738,[39]LTM!$J$745:$J$751,[39]LTM!$J$840,[39]LTM!$J$1266,[39]LTM!$J$1454:$J$1461,[39]LTM!$J$1463:$J$1465,[39]LTM!$J$1468</definedName>
    <definedName name="hn.MultByFXRatesBot5">[39]LTM!$L$676:$L$682,[39]LTM!$L$686,[39]LTM!$L$688:$L$694,[39]LTM!$L$699:$L$706,[39]LTM!$L$710:$L$714,[39]LTM!$L$717:$L$734,[39]LTM!$L$738,[39]LTM!$L$745:$L$751,[39]LTM!$L$837:$L$838,[39]LTM!$L$1454:$L$1458,[39]LTM!$L$1468:$L$1469</definedName>
    <definedName name="hn.MultByFXRatesBot6">[39]LTM!$M$676:$M$682,[39]LTM!$M$686,[39]LTM!$M$688:$M$694,[39]LTM!$M$699:$M$706,[39]LTM!$M$710:$M$714,[39]LTM!$M$717:$M$734,[39]LTM!$M$738,[39]LTM!$M$745:$M$751,[39]LTM!$M$837:$M$838,[39]LTM!$M$1454:$M$1458,[39]LTM!$M$1468:$M$1469</definedName>
    <definedName name="hn.MultByFXRatesBot7">[39]LTM!$N$676:$N$682,[39]LTM!$N$686,[39]LTM!$N$688:$N$694,[39]LTM!$N$699:$N$706,[39]LTM!$N$710:$N$714,[39]LTM!$N$717:$N$734,[39]LTM!$N$738,[39]LTM!$N$745:$N$751,[39]LTM!$N$837:$N$838,[39]LTM!$N$1454:$N$1458,[39]LTM!$N$1468:$N$1469</definedName>
    <definedName name="hn.MultByFXRatesTop1">[39]LTM!$G$461,[39]LTM!$G$463:$G$464,[39]LTM!$G$468:$G$469,[39]LTM!$G$473:$G$475,[39]LTM!$G$480,[39]LTM!$G$484:$G$485,[39]LTM!$G$490:$G$509,[39]LTM!$G$512,[39]LTM!$G$514:$G$518,[39]LTM!$G$525:$G$526,[39]LTM!$G$532:$G$537,[39]LTM!$G$560</definedName>
    <definedName name="hn.MultByFXRatesTop2">[39]LTM!$H$461,[39]LTM!$H$463:$H$464,[39]LTM!$H$468:$H$469,[39]LTM!$H$473:$H$475,[39]LTM!$H$480,[39]LTM!$H$484:$H$485,[39]LTM!$H$490:$H$509,[39]LTM!$H$512,[39]LTM!$H$514:$H$518,[39]LTM!$H$525:$H$526,[39]LTM!$H$532:$H$537,[39]LTM!$H$560,[39]LTM!$H$590:$H$591,[39]LTM!$H$614:$H$631,[39]LTM!$H$635:$H$636</definedName>
    <definedName name="hn.MultByFXRatesTop3">[39]LTM!$I$461,[39]LTM!$I$463:$I$464,[39]LTM!$I$468:$I$469,[39]LTM!$I$473:$I$475,[39]LTM!$I$480,[39]LTM!$I$484:$I$485,[39]LTM!$I$490:$I$509,[39]LTM!$I$512,[39]LTM!$I$514:$I$518,[39]LTM!$I$525:$I$526,[39]LTM!$I$532:$I$537,[39]LTM!$I$560,[39]LTM!$I$590:$I$591,[39]LTM!$I$614:$I$631,[39]LTM!$I$635:$I$636</definedName>
    <definedName name="hn.MultByFXRatesTop4">[39]LTM!$J$461,[39]LTM!$J$463:$J$464,[39]LTM!$J$468:$J$469,[39]LTM!$J$473:$J$475,[39]LTM!$J$480,[39]LTM!$J$484:$J$485,[39]LTM!$J$490:$J$509,[39]LTM!$J$512,[39]LTM!$J$514:$J$518,[39]LTM!$J$525:$J$526,[39]LTM!$J$532:$J$537,[39]LTM!$J$560,[39]LTM!$J$590:$J$591,[39]LTM!$J$614:$J$631,[39]LTM!$J$635:$J$636</definedName>
    <definedName name="hn.MultByFXRatesTop5">[39]LTM!$L$461,[39]LTM!$L$463:$L$464,[39]LTM!$L$468:$L$469,[39]LTM!$L$473:$L$475,[39]LTM!$L$480,[39]LTM!$L$484:$L$485,[39]LTM!$L$490:$L$509,[39]LTM!$L$512,[39]LTM!$L$514:$L$518,[39]LTM!$L$525:$L$526,[39]LTM!$L$532:$L$537,[39]LTM!$L$560</definedName>
    <definedName name="hn.MultByFXRatesTop6">[39]LTM!$M$461,[39]LTM!$M$463:$M$464,[39]LTM!$M$468:$M$469,[39]LTM!$M$473:$M$475,[39]LTM!$M$480,[39]LTM!$M$484:$M$485,[39]LTM!$M$490:$M$509,[39]LTM!$M$512,[39]LTM!$M$514:$M$518,[39]LTM!$M$525:$M$526,[39]LTM!$M$532:$M$537,[39]LTM!$M$560,[39]LTM!$M$590:$M$591,[39]LTM!$M$614:$M$631,[39]LTM!$M$635:$M$636</definedName>
    <definedName name="hn.MultByFXRatesTop7">[39]LTM!$N$461,[39]LTM!$N$463:$N$464,[39]LTM!$N$468:$N$469,[39]LTM!$N$473:$N$475,[39]LTM!$N$480,[39]LTM!$N$484:$N$485,[39]LTM!$N$490:$N$509,[39]LTM!$N$512,[39]LTM!$N$514:$N$518,[39]LTM!$N$525:$N$526,[39]LTM!$N$532:$N$537,[39]LTM!$N$560,[39]LTM!$N$590:$N$591,[39]LTM!$N$614:$N$631,[39]LTM!$N$635:$N$636</definedName>
    <definedName name="hn.NoUpload">0</definedName>
    <definedName name="hn.RolledForward">FALSE</definedName>
    <definedName name="hnjgfjtrhju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hod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la">[41]Cotizaciones!$A$3</definedName>
    <definedName name="houy">{#N/A,#N/A,FALSE,"AD_Purchase";#N/A,#N/A,FALSE,"Credit";#N/A,#N/A,FALSE,"PF Acquisition";#N/A,#N/A,FALSE,"PF Offering"}</definedName>
    <definedName name="hp">{"Reader",#N/A,FALSE,"Summary";"Reader",#N/A,FALSE,"Buildup";"Reader",#N/A,FALSE,"Financials";"Reader",#N/A,FALSE,"Debt &amp; Other"}</definedName>
    <definedName name="hs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hsdfgh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hsdfh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hsdhdr">{"US Dollars",#N/A,TRUE,"PPD";"US Dollar",#N/A,TRUE,"Anaquest";"US Dollar",#N/A,TRUE,"Delta";"US Dollar",#N/A,TRUE,"INO"}</definedName>
    <definedName name="hsg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hsh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hthjtryu">{"Units A",#N/A,FALSE,"FY95SLS";"Units B",#N/A,FALSE,"FY95SLS"}</definedName>
    <definedName name="hthtrh">{"histincome",#N/A,FALSE,"hyfins";"closing balance",#N/A,FALSE,"hyfins"}</definedName>
    <definedName name="HTML_CodePage">1252</definedName>
    <definedName name="HTML_Control">{"'Sheet1'!$A$1:$E$96"}</definedName>
    <definedName name="HTML_Control_1">{"'Sheet1'!$A$1:$Q$151"}</definedName>
    <definedName name="HTML_Control_2">{"'Sheet1'!$A$1:$Q$151"}</definedName>
    <definedName name="HTML_Control_3">{"'Sheet1'!$A$1:$Q$151"}</definedName>
    <definedName name="HTML_Control_4">{"'Sheet1'!$A$1:$Q$151"}</definedName>
    <definedName name="HTML_Control_5">{"'Sheet1'!$A$1:$Q$151"}</definedName>
    <definedName name="Html_control1">{"'Perf 96'!$A$1:$P$98"}</definedName>
    <definedName name="HTML_Control2">{"'Sheet1'!$A$1:$O$40"}</definedName>
    <definedName name="HTML_Description">""</definedName>
    <definedName name="HTML_Email">""</definedName>
    <definedName name="HTML_Header">"Fundamental Growth in EBIT"</definedName>
    <definedName name="HTML_LastUpdate">"9/11/00"</definedName>
    <definedName name="HTML_LineAfter">TRUE</definedName>
    <definedName name="HTML_LineBefore">TRUE</definedName>
    <definedName name="HTML_Name">"Aswath Damodaran"</definedName>
    <definedName name="HTML_OBDlg2">TRUE</definedName>
    <definedName name="HTML_OBDlg4">TRUE</definedName>
    <definedName name="HTML_OS">1</definedName>
    <definedName name="HTML_PathFile">"C:\DATA\Focus\Plans comptables\MyHTML.htm"</definedName>
    <definedName name="HTML_PathFileMac">"Macintosh HD:Web Site “~adamodar”:pc:datasets:MyHTML.html"</definedName>
    <definedName name="HTML_Title">"fundgrEB"</definedName>
    <definedName name="HTML1_1">"[RiskPremiumUS]Sheet1!$A$1:$M$38"</definedName>
    <definedName name="HTML1_10">""</definedName>
    <definedName name="HTML1_11">1</definedName>
    <definedName name="HTML1_12">"Zip 100:New_Home_Page:datafile:implpr.html"</definedName>
    <definedName name="HTML1_2">1</definedName>
    <definedName name="HTML1_3">"RiskPremiumUS"</definedName>
    <definedName name="HTML1_4">"Implied Risk Premiums for US"</definedName>
    <definedName name="HTML1_5">""</definedName>
    <definedName name="HTML1_6">-4146</definedName>
    <definedName name="HTML1_7">-4146</definedName>
    <definedName name="HTML1_8">"3/19/97"</definedName>
    <definedName name="HTML1_9">"Aswath Damodaran"</definedName>
    <definedName name="HTML2_1">"[TB9.XLS]St_tot_94_95!$A$1:$J$427"</definedName>
    <definedName name="HTML2_10">""</definedName>
    <definedName name="HTML2_11">1</definedName>
    <definedName name="HTML2_12">"C:\My Documents\financials.html"</definedName>
    <definedName name="HTML2_2">1</definedName>
    <definedName name="HTML2_3">"Financials"</definedName>
    <definedName name="HTML2_4">"Income Statement"</definedName>
    <definedName name="HTML2_5">""</definedName>
    <definedName name="HTML2_6">-4146</definedName>
    <definedName name="HTML2_7">1</definedName>
    <definedName name="HTML2_8">"8/22/98"</definedName>
    <definedName name="HTML2_9">"Bill Nguyen"</definedName>
    <definedName name="HTML3_1">"[TB9.XLS]St_tot_94_95!$A$1:$H$427"</definedName>
    <definedName name="HTML3_10">""</definedName>
    <definedName name="HTML3_11">1</definedName>
    <definedName name="HTML3_12">"F:\USERS\ECON\Census95\Int\T9st.htm"</definedName>
    <definedName name="HTML3_2">1</definedName>
    <definedName name="HTML3_3">""</definedName>
    <definedName name="HTML3_4">""</definedName>
    <definedName name="HTML3_5">""</definedName>
    <definedName name="HTML3_6">-4146</definedName>
    <definedName name="HTML3_7">-4146</definedName>
    <definedName name="HTML3_8">"2/17/98"</definedName>
    <definedName name="HTML3_9">"BPH"</definedName>
    <definedName name="HTMLCount">1</definedName>
    <definedName name="htrhdfgagadf">{#N/A,#N/A,FALSE,"Op-BS";#N/A,#N/A,FALSE,"Assum";#N/A,#N/A,FALSE,"IS";#N/A,#N/A,FALSE,"Syn+Elim";#N/A,#N/A,FALSE,"BSCF";#N/A,#N/A,FALSE,"Blue_IS";#N/A,#N/A,FALSE,"Blue_BSCF";#N/A,#N/A,FALSE,"Ratings"}</definedName>
    <definedName name="htrhrwh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htwthjwrtj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huy">{"'Sheet1'!$L$16"}</definedName>
    <definedName name="hwrththuw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hwty">{"Units A",#N/A,FALSE,"FY95SLS";"Units B",#N/A,FALSE,"FY95SLS"}</definedName>
    <definedName localSheetId="0" name="hzsdbfvkzj">'[30]Adj Sales'!#REF!</definedName>
    <definedName name="hzsdbfvkzj">'[30]Adj Sales'!#REF!</definedName>
    <definedName name="i">{"Qtr Op Mgd Q3",#N/A,FALSE,"Qtr-Op (Mng)";"Qtr Op Rpt Q3",#N/A,FALSE,"Qtr-Op (Rpt)";"Operating Vs Reported",#N/A,FALSE,"Rpt-Op Inc"}</definedName>
    <definedName name="iiiiii">{#N/A,#N/A,FALSE,"PERSONAL";#N/A,#N/A,FALSE,"explotación";#N/A,#N/A,FALSE,"generales"}</definedName>
    <definedName name="ileana">{"data",#N/A,FALSE,"Ratios";"ratios",#N/A,FALSE,"Ratios"}</definedName>
    <definedName name="Img_ML_2d2r9j7a">"IMG_11"</definedName>
    <definedName name="Img_ML_3c7g1a7g">"IMG_52"</definedName>
    <definedName name="Img_ML_5e7g5e5e">"IMG_11"</definedName>
    <definedName name="Img_ML_5g9y2u4m">"IMG_11"</definedName>
    <definedName name="Img_ML_7g5e5e2b">"IMG_52"</definedName>
    <definedName name="Img_ML_8h5e9i3c">"IMG_11"</definedName>
    <definedName name="Img_ML_8h7g3c9i">"IMG_18"</definedName>
    <definedName name="Img_ML_8h7g4d4d">"IMG_52"</definedName>
    <definedName name="Img_ML_8k8v5t9j">"IMG_6"</definedName>
    <definedName name="Img_ML_9s7y2o2w">"IMG_6"</definedName>
    <definedName name="INMAT">{#N/A,#N/A,FALSE,"Resumen Saldos";#N/A,#N/A,FALSE,"COMPARATIVO 97-98 (3)";#N/A,#N/A,FALSE,"Graficos - Ventas";#N/A,#N/A,FALSE,"Graficos - Clientes";#N/A,#N/A,FALSE,"politicas de amortizacion.";#N/A,#N/A,FALSE,"Inmovilizado";#N/A,#N/A,FALSE,"Inmov.Inmat";#N/A,#N/A,FALSE,"Inm. Financiero";#N/A,#N/A,FALSE,"A.A. Públicas"}</definedName>
    <definedName name="IntermediateCapShares">'[42]Intermediate cap'!$M$55</definedName>
    <definedName name="INVENT.CARTERA">{#N/A,#N/A,FALSE,"ACTIVO - hoja 1";#N/A,#N/A,FALSE,"ACTIVO - hoja 2";#N/A,#N/A,FALSE,"PASIVO - hoja 1";#N/A,#N/A,FALSE,"PASIVO - hoja 2";#N/A,#N/A,FALSE,"GASTOS - hoja 1 ";#N/A,#N/A,FALSE,"GASTOS - hoja 2";#N/A,#N/A,FALSE,"INGRESOS - hoja 1 ";#N/A,#N/A,FALSE,"INGRESOS - hoja 2"}</definedName>
    <definedName name="Inventory">{"Summary analysis",#N/A,FALSE,"Total";"OCPH analysis",#N/A,FALSE,"Total";"detail analysis",#N/A,FALSE,"Total"}</definedName>
    <definedName name="Inventory1">{"Summary analysis",#N/A,FALSE,"Total";"OCPH analysis",#N/A,FALSE,"Total";"detail analysis",#N/A,FALSE,"Total"}</definedName>
    <definedName name="inventory2">{"Summary analysis",#N/A,FALSE,"Total";"OCPH analysis",#N/A,FALSE,"Total";"detail analysis",#N/A,FALSE,"Total"}</definedName>
    <definedName name="io">{"Pound Sterling",#N/A,TRUE,"PPD";"Pound Sterling",#N/A,TRUE,"Anaquest";"Pound Sterling",#N/A,TRUE,"Delta";"Pound Sterling",#N/A,TRUE,"INO"}</definedName>
    <definedName name="io_2">{"Pound Sterling",#N/A,TRUE,"PPD";"Pound Sterling",#N/A,TRUE,"Anaquest";"Pound Sterling",#N/A,TRUE,"Delta";"Pound Sterling",#N/A,TRUE,"INO"}</definedName>
    <definedName name="iotyuds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ACQUIRED_BY_REPORTING_BANK_FDIC">"c6535"</definedName>
    <definedName name="IQ_ADDIN">"AUTO"</definedName>
    <definedName name="IQ_ADDITIONAL_NON_INT_INC_FDIC">"c6574"</definedName>
    <definedName name="IQ_ADJUSTABLE_RATE_LOANS_FDIC">"c6375"</definedName>
    <definedName name="IQ_AE_BR">"c10"</definedName>
    <definedName name="IQ_AFTER_TAX_INCOME_FDIC">"c6583"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MENDED_BALANCE_PREVIOUS_YR_FDIC">"c6499"</definedName>
    <definedName name="IQ_AMORT_EXPENSE_FDIC">"c6677"</definedName>
    <definedName name="IQ_AMORTIZED_COST_FDIC">"c6426"</definedName>
    <definedName name="IQ_AP_BR">"c34"</definedName>
    <definedName name="IQ_AR_BR">"c41"</definedName>
    <definedName name="IQ_ASSET_BACKED_FDIC">"c6301"</definedName>
    <definedName name="IQ_ASSET_WRITEDOWN_BR">"c50"</definedName>
    <definedName name="IQ_ASSET_WRITEDOWN_CF_BR">"c53"</definedName>
    <definedName name="IQ_ASSETS_HELD_FDIC">"c6305"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VAILABLE_FOR_SALE_FDIC">"c6409"</definedName>
    <definedName name="IQ_AVERAGE_ASSETS_FDIC">"c6362"</definedName>
    <definedName name="IQ_AVERAGE_ASSETS_QUART_FDIC">"c6363"</definedName>
    <definedName name="IQ_AVERAGE_EARNING_ASSETS_FDIC">"c6748"</definedName>
    <definedName name="IQ_AVERAGE_EQUITY_FDIC">"c6749"</definedName>
    <definedName name="IQ_AVERAGE_LOANS_FDIC">"c6750"</definedName>
    <definedName name="IQ_AVG_BROKER_REC_NO_REUT">"c5315"</definedName>
    <definedName name="IQ_AVG_BROKER_REC_REUT">"c3630"</definedName>
    <definedName name="IQ_AVG_PRICE_TARGET">"c82"</definedName>
    <definedName name="IQ_BALANCE_GOODS_APR_FC_UNUSED_UNUSED_UNUSED">"c8353"</definedName>
    <definedName name="IQ_BALANCE_GOODS_APR_UNUSED_UNUSED_UNUSED">"c7473"</definedName>
    <definedName name="IQ_BALANCE_GOODS_FC_UNUSED_UNUSED_UNUSED">"c7693"</definedName>
    <definedName name="IQ_BALANCE_GOODS_POP_FC_UNUSED_UNUSED_UNUSED">"c7913"</definedName>
    <definedName name="IQ_BALANCE_GOODS_POP_UNUSED_UNUSED_UNUSED">"c7033"</definedName>
    <definedName name="IQ_BALANCE_GOODS_UNUSED_UNUSED_UNUSED">"c6813"</definedName>
    <definedName name="IQ_BALANCE_GOODS_YOY_FC_UNUSED_UNUSED_UNUSED">"c8133"</definedName>
    <definedName name="IQ_BALANCE_GOODS_YOY_UNUSED_UNUSED_UNUSED">"c7253"</definedName>
    <definedName name="IQ_BALANCE_SERV_APR_FC_UNUSED_UNUSED_UNUSED">"c8355"</definedName>
    <definedName name="IQ_BALANCE_SERV_APR_UNUSED_UNUSED_UNUSED">"c7475"</definedName>
    <definedName name="IQ_BALANCE_SERV_FC_UNUSED_UNUSED_UNUSED">"c7695"</definedName>
    <definedName name="IQ_BALANCE_SERV_POP_FC_UNUSED_UNUSED_UNUSED">"c7915"</definedName>
    <definedName name="IQ_BALANCE_SERV_POP_UNUSED_UNUSED_UNUSED">"c7035"</definedName>
    <definedName name="IQ_BALANCE_SERV_UNUSED_UNUSED_UNUSED">"c6815"</definedName>
    <definedName name="IQ_BALANCE_SERV_YOY_FC_UNUSED_UNUSED_UNUSED">"c8135"</definedName>
    <definedName name="IQ_BALANCE_SERV_YOY_UNUSED_UNUSED_UNUSED">"c7255"</definedName>
    <definedName name="IQ_BALANCE_TRADE_APR_FC_UNUSED_UNUSED_UNUSED">"c8357"</definedName>
    <definedName name="IQ_BALANCE_TRADE_APR_UNUSED_UNUSED_UNUSED">"c7477"</definedName>
    <definedName name="IQ_BALANCE_TRADE_FC_UNUSED_UNUSED_UNUSED">"c7697"</definedName>
    <definedName name="IQ_BALANCE_TRADE_POP_FC_UNUSED_UNUSED_UNUSED">"c7917"</definedName>
    <definedName name="IQ_BALANCE_TRADE_POP_UNUSED_UNUSED_UNUSED">"c7037"</definedName>
    <definedName name="IQ_BALANCE_TRADE_UNUSED_UNUSED_UNUSED">"c6817"</definedName>
    <definedName name="IQ_BALANCE_TRADE_YOY_FC_UNUSED_UNUSED_UNUSED">"c8137"</definedName>
    <definedName name="IQ_BALANCE_TRADE_YOY_UNUSED_UNUSED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TOTAL_DEPOSITS_FDIC">"c6475"</definedName>
    <definedName name="IQ_BOARD_MEMBER_FAX">"c2100"</definedName>
    <definedName name="IQ_BOARD_MEMBER_OFFICE">"c2098"</definedName>
    <definedName name="IQ_BOARD_MEMBER_PHONE">"c2099"</definedName>
    <definedName name="IQ_BONDRATING_FITCH">"IQ_BONDRATING_FITCH"</definedName>
    <definedName name="IQ_BONDRATING_FITCH_DATE">"c241"</definedName>
    <definedName name="IQ_BONDRATING_MOODYS">"IQ_BONDRATING_MOODYS"</definedName>
    <definedName name="IQ_BONDRATING_SP">"IQ_BONDRATING_SP"</definedName>
    <definedName name="IQ_BONDRATING_SP_DATE">"c242"</definedName>
    <definedName name="IQ_BOOK_VALUE">"IQ_BOOK_VALUE"</definedName>
    <definedName name="IQ_BROKERED_DEPOSITS_FDIC">"c6486"</definedName>
    <definedName name="IQ_BUDGET_BALANCE_APR_FC_UNUSED_UNUSED_UNUSED">"c8359"</definedName>
    <definedName name="IQ_BUDGET_BALANCE_APR_UNUSED_UNUSED_UNUSED">"c7479"</definedName>
    <definedName name="IQ_BUDGET_BALANCE_FC_UNUSED_UNUSED_UNUSED">"c7699"</definedName>
    <definedName name="IQ_BUDGET_BALANCE_POP_FC_UNUSED_UNUSED_UNUSED">"c7919"</definedName>
    <definedName name="IQ_BUDGET_BALANCE_POP_UNUSED_UNUSED_UNUSED">"c7039"</definedName>
    <definedName name="IQ_BUDGET_BALANCE_UNUSED_UNUSED_UNUSED">"c6819"</definedName>
    <definedName name="IQ_BUDGET_BALANCE_YOY_FC_UNUSED_UNUSED_UNUSED">"c8139"</definedName>
    <definedName name="IQ_BUDGET_BALANCE_YOY_UNUSED_UNUSED_UNUSED">"c7259"</definedName>
    <definedName name="IQ_BUDGET_RECEIPTS_APR_FC_UNUSED_UNUSED_UNUSED">"c8361"</definedName>
    <definedName name="IQ_BUDGET_RECEIPTS_APR_UNUSED_UNUSED_UNUSED">"c7481"</definedName>
    <definedName name="IQ_BUDGET_RECEIPTS_FC_UNUSED_UNUSED_UNUSED">"c7701"</definedName>
    <definedName name="IQ_BUDGET_RECEIPTS_POP_FC_UNUSED_UNUSED_UNUSED">"c7921"</definedName>
    <definedName name="IQ_BUDGET_RECEIPTS_POP_UNUSED_UNUSED_UNUSED">"c7041"</definedName>
    <definedName name="IQ_BUDGET_RECEIPTS_UNUSED_UNUSED_UNUSED">"c6821"</definedName>
    <definedName name="IQ_BUDGET_RECEIPTS_YOY_FC_UNUSED_UNUSED_UNUSED">"c8141"</definedName>
    <definedName name="IQ_BUDGET_RECEIPTS_YOY_UNUSED_UNUSED_UNUSED">"c7261"</definedName>
    <definedName name="IQ_BUS_SEG_PRIMARY_GIC">"c15584"</definedName>
    <definedName name="IQ_BUS_SEG_PRIMARY_GIC_ABS">"c15572"</definedName>
    <definedName name="IQ_BUS_SEG_SECONDARY_GIC">"c15585"</definedName>
    <definedName name="IQ_BUS_SEG_SECONDARY_GIC_ABS">"c15573"</definedName>
    <definedName name="IQ_BV_ACT_OR_EST_REUT">"c5471"</definedName>
    <definedName name="IQ_BV_ACT_OR_EST_THOM">"c5308"</definedName>
    <definedName name="IQ_BV_EST_REUT">"c5403"</definedName>
    <definedName name="IQ_BV_EST_THOM">"c5147"</definedName>
    <definedName name="IQ_BV_HIGH_EST_REUT">"c5405"</definedName>
    <definedName name="IQ_BV_HIGH_EST_THOM">"c5149"</definedName>
    <definedName name="IQ_BV_LOW_EST_REUT">"c5406"</definedName>
    <definedName name="IQ_BV_LOW_EST_THOM">"c5150"</definedName>
    <definedName name="IQ_BV_MEDIAN_EST_REUT">"c5404"</definedName>
    <definedName name="IQ_BV_MEDIAN_EST_THOM">"c5148"</definedName>
    <definedName name="IQ_BV_NUM_EST_REUT">"c5407"</definedName>
    <definedName name="IQ_BV_NUM_EST_THOM">"c5151"</definedName>
    <definedName name="IQ_BV_STDDEV_EST_REUT">"c5408"</definedName>
    <definedName name="IQ_BV_STDDEV_EST_THOM">"c5152"</definedName>
    <definedName name="IQ_CAL_Q_EST_REUT">"c6800"</definedName>
    <definedName name="IQ_CAL_Y_EST_REUT">"c6801"</definedName>
    <definedName name="IQ_CAP_INT">"c3460"</definedName>
    <definedName name="IQ_CAPEX_BR">"c111"</definedName>
    <definedName name="IQ_CASH_DIVIDENDS_NET_INCOME_FDIC">"c6738"</definedName>
    <definedName name="IQ_CASH_IN_PROCESS_FDIC">"c6386"</definedName>
    <definedName name="IQ_CCE_FDIC">"c6296"</definedName>
    <definedName name="IQ_CHANGE_AP_BR">"c135"</definedName>
    <definedName name="IQ_CHANGE_AR_BR">"c142"</definedName>
    <definedName name="IQ_CHANGE_INVENT_REAL_APR_FC_UNUSED_UNUSED_UNUSED">"c8500"</definedName>
    <definedName name="IQ_CHANGE_INVENT_REAL_APR_UNUSED_UNUSED_UNUSED">"c7620"</definedName>
    <definedName name="IQ_CHANGE_INVENT_REAL_FC_UNUSED_UNUSED_UNUSED">"c7840"</definedName>
    <definedName name="IQ_CHANGE_INVENT_REAL_POP_FC_UNUSED_UNUSED_UNUSED">"c8060"</definedName>
    <definedName name="IQ_CHANGE_INVENT_REAL_POP_UNUSED_UNUSED_UNUSED">"c7180"</definedName>
    <definedName name="IQ_CHANGE_INVENT_REAL_UNUSED_UNUSED_UNUSED">"c6960"</definedName>
    <definedName name="IQ_CHANGE_INVENT_REAL_YOY_FC_UNUSED_UNUSED_UNUSED">"c8280"</definedName>
    <definedName name="IQ_CHANGE_INVENT_REAL_YOY_UNUSED_UNUSED_UNUSED">"c7400"</definedName>
    <definedName name="IQ_CHANGE_OTHER_NET_OPER_ASSETS_BR">"c3595"</definedName>
    <definedName name="IQ_CHANGE_OTHER_WORK_CAP_BR">"c154"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LASSB_OUTSTANDING_BS_DATE">"c1972"</definedName>
    <definedName name="IQ_CLASSB_OUTSTANDING_FILING_DATE">"c1974"</definedName>
    <definedName name="IQ_CMO_FDIC">"c6406"</definedName>
    <definedName name="IQ_COLLECTION_DOMESTIC_FDIC">"c6387"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INDUSTRIAL_CHARGE_OFFS_FDIC">"c6598"</definedName>
    <definedName name="IQ_COMMERCIAL_INDUSTRIAL_LOANS_NET_FDIC">"c6317"</definedName>
    <definedName name="IQ_COMMERCIAL_INDUSTRIAL_NET_CHARGE_OFFS_FDIC">"c6636"</definedName>
    <definedName name="IQ_COMMERCIAL_INDUSTRIAL_RECOVERIES_FDIC">"c6617"</definedName>
    <definedName name="IQ_COMMERCIAL_INDUSTRIAL_TOTAL_LOANS_FOREIGN_FDIC">"c6451"</definedName>
    <definedName name="IQ_COMMERCIAL_MORT">"c179"</definedName>
    <definedName name="IQ_COMMERCIAL_RE_CONSTRUCTION_LAND_DEV_FDIC">"c6526"</definedName>
    <definedName name="IQ_COMMERCIAL_RE_LOANS_FDIC">"c6312"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_APIC_BR">"c185"</definedName>
    <definedName name="IQ_COMMON_FDIC">"c6350"</definedName>
    <definedName name="IQ_COMMON_ISSUED_BR">"c199"</definedName>
    <definedName name="IQ_COMMON_REP_BR">"c208"</definedName>
    <definedName name="IQ_CONSTRUCTION_DEV_LOANS_FDIC">"c6313"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TRACTS_OTHER_COMMODITIES_EQUITIES._FDIC">"c6522"</definedName>
    <definedName name="IQ_CONTRACTS_OTHER_COMMODITIES_EQUITIES_FDIC">"c6522"</definedName>
    <definedName name="IQ_CONV_RATE">"c2192"</definedName>
    <definedName name="IQ_CONVERT_DEBT">"c224"</definedName>
    <definedName name="IQ_CONVEYED_TO_OTHERS_FDIC">"c6534"</definedName>
    <definedName name="IQ_CORE_CAPITAL_RATIO_FDIC">"c6745"</definedName>
    <definedName name="IQ_CORP_GOODS_PRICE_INDEX_APR_FC_UNUSED_UNUSED_UNUSED">"c8381"</definedName>
    <definedName name="IQ_CORP_GOODS_PRICE_INDEX_APR_UNUSED_UNUSED_UNUSED">"c7501"</definedName>
    <definedName name="IQ_CORP_GOODS_PRICE_INDEX_FC_UNUSED_UNUSED_UNUSED">"c7721"</definedName>
    <definedName name="IQ_CORP_GOODS_PRICE_INDEX_POP_FC_UNUSED_UNUSED_UNUSED">"c7941"</definedName>
    <definedName name="IQ_CORP_GOODS_PRICE_INDEX_POP_UNUSED_UNUSED_UNUSED">"c7061"</definedName>
    <definedName name="IQ_CORP_GOODS_PRICE_INDEX_UNUSED_UNUSED_UNUSED">"c6841"</definedName>
    <definedName name="IQ_CORP_GOODS_PRICE_INDEX_YOY_FC_UNUSED_UNUSED_UNUSED">"c8161"</definedName>
    <definedName name="IQ_CORP_GOODS_PRICE_INDEX_YOY_UNUSED_UNUSED_UNUSED">"c7281"</definedName>
    <definedName name="IQ_COST_OF_FUNDING_ASSETS_FDIC">"c6725"</definedName>
    <definedName name="IQ_CREDIT_CARD_CHARGE_OFFS_FDIC">"c6652"</definedName>
    <definedName name="IQ_CREDIT_CARD_FEE">"c231"</definedName>
    <definedName name="IQ_CREDIT_CARD_LINES_FDIC">"c6525"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LOSS_PROVISION_NET_CHARGE_OFFS_FDIC">"c6734"</definedName>
    <definedName name="IQ_CURR_ACCT_BALANCE_APR_FC_UNUSED_UNUSED_UNUSED">"c8387"</definedName>
    <definedName name="IQ_CURR_ACCT_BALANCE_APR_UNUSED_UNUSED_UNUSED">"c7507"</definedName>
    <definedName name="IQ_CURR_ACCT_BALANCE_FC_UNUSED_UNUSED_UNUSED">"c7727"</definedName>
    <definedName name="IQ_CURR_ACCT_BALANCE_POP_FC_UNUSED_UNUSED_UNUSED">"c7947"</definedName>
    <definedName name="IQ_CURR_ACCT_BALANCE_POP_UNUSED_UNUSED_UNUSED">"c7067"</definedName>
    <definedName name="IQ_CURR_ACCT_BALANCE_UNUSED_UNUSED_UNUSED">"c6847"</definedName>
    <definedName name="IQ_CURR_ACCT_BALANCE_YOY_FC_UNUSED_UNUSED_UNUSED">"c8167"</definedName>
    <definedName name="IQ_CURR_ACCT_BALANCE_YOY_UNUSED_UNUSED_UNUSED">"c7287"</definedName>
    <definedName name="IQ_CURRENCY_COIN_DOMESTIC_FDIC">"c6388"</definedName>
    <definedName name="IQ_CURRENCY_GAIN_BR">"c236"</definedName>
    <definedName name="IQ_CURRENT_PORT_DEBT_BR">"c1567"</definedName>
    <definedName name="IQ_DA_BR">"c248"</definedName>
    <definedName name="IQ_DA_CF_BR">"c251"</definedName>
    <definedName name="IQ_DA_SUPPL_BR">"c260"</definedName>
    <definedName name="IQ_DA_SUPPL_CF_BR">"c263"</definedName>
    <definedName name="IQ_DEF_AMORT_BR">"c278"</definedName>
    <definedName name="IQ_DEF_CHARGES_BR">"c288"</definedName>
    <definedName name="IQ_DEF_CHARGES_LT_BR">"c294"</definedName>
    <definedName name="IQ_DEF_TAX_ASSET_LT_BR">"c304"</definedName>
    <definedName name="IQ_DEF_TAX_LIAB_LT_BR">"c315"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HELD_DOMESTIC_FDIC">"c6340"</definedName>
    <definedName name="IQ_DEPOSITS_HELD_FOREIGN_FDIC">"c6341"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RIVATIVES_FDIC">"c6523"</definedName>
    <definedName name="IQ_DIVIDENDS_DECLARED_COMMON_FDIC">"c6659"</definedName>
    <definedName name="IQ_DIVIDENDS_DECLARED_PREFERRED_FDIC">"c6658"</definedName>
    <definedName name="IQ_DIVIDENDS_FDIC">"c6660"</definedName>
    <definedName name="IQ_DNTM">700000</definedName>
    <definedName name="IQ_EARNING_ASSETS_FDIC">"c6360"</definedName>
    <definedName name="IQ_EARNING_ASSETS_YIELD_FDIC">"c6724"</definedName>
    <definedName name="IQ_EARNINGS_ANNOUNCE_DATE_REUT">"c5314"</definedName>
    <definedName name="IQ_EARNINGS_COVERAGE_NET_CHARGE_OFFS_FDIC">"c6735"</definedName>
    <definedName name="IQ_EBIT_10K">"IQ_EBIT_10K"</definedName>
    <definedName name="IQ_EBIT_10Q">"IQ_EBIT_10Q"</definedName>
    <definedName name="IQ_EBIT_10Q1">"IQ_EBIT_10Q1"</definedName>
    <definedName name="IQ_EBIT_GROWTH_1">"IQ_EBIT_GROWTH_1"</definedName>
    <definedName name="IQ_EBIT_GROWTH_2">"IQ_EBIT_GROWTH_2"</definedName>
    <definedName name="IQ_EBITDA_10K">"IQ_EBITDA_10K"</definedName>
    <definedName name="IQ_EBITDA_10Q">"IQ_EBITDA_10Q"</definedName>
    <definedName name="IQ_EBITDA_10Q1">"IQ_EBITDA_10Q1"</definedName>
    <definedName name="IQ_EBITDA_EST_REUT">"c3640"</definedName>
    <definedName name="IQ_EBITDA_GROWTH_1">"IQ_EBITDA_GROWTH_1"</definedName>
    <definedName name="IQ_EBITDA_GROWTH_2">"IQ_EBITDA_GROWTH_2"</definedName>
    <definedName name="IQ_EBITDA_HIGH_EST_REUT">"c3642"</definedName>
    <definedName name="IQ_EBITDA_LOW_EST_REUT">"c3643"</definedName>
    <definedName name="IQ_EBITDA_MEDIAN_EST_REUT">"c3641"</definedName>
    <definedName name="IQ_EBITDA_NO_EST">"c267"</definedName>
    <definedName name="IQ_EBITDA_NUM_EST_REUT">"c3644"</definedName>
    <definedName name="IQ_EBITDA_STDDEV_EST_REUT">"c3645"</definedName>
    <definedName name="IQ_EBT_BR">"c378"</definedName>
    <definedName name="IQ_EBT_EXCL_BR">"c381"</definedName>
    <definedName name="IQ_ECO_METRIC_6825_UNUSED_UNUSED_UNUSED">"c6825"</definedName>
    <definedName name="IQ_ECO_METRIC_6839_UNUSED_UNUSED_UNUSED">"c6839"</definedName>
    <definedName name="IQ_ECO_METRIC_6896_UNUSED_UNUSED_UNUSED">"c6896"</definedName>
    <definedName name="IQ_ECO_METRIC_6897_UNUSED_UNUSED_UNUSED">"c6897"</definedName>
    <definedName name="IQ_ECO_METRIC_6988_UNUSED_UNUSED_UNUSED">"c6988"</definedName>
    <definedName name="IQ_ECO_METRIC_7045_UNUSED_UNUSED_UNUSED">"c7045"</definedName>
    <definedName name="IQ_ECO_METRIC_7059_UNUSED_UNUSED_UNUSED">"c7059"</definedName>
    <definedName name="IQ_ECO_METRIC_7116_UNUSED_UNUSED_UNUSED">"c7116"</definedName>
    <definedName name="IQ_ECO_METRIC_7117_UNUSED_UNUSED_UNUSED">"c7117"</definedName>
    <definedName name="IQ_ECO_METRIC_7208_UNUSED_UNUSED_UNUSED">"c7208"</definedName>
    <definedName name="IQ_ECO_METRIC_7265_UNUSED_UNUSED_UNUSED">"c7265"</definedName>
    <definedName name="IQ_ECO_METRIC_7279_UNUSED_UNUSED_UNUSED">"c7279"</definedName>
    <definedName name="IQ_ECO_METRIC_7336_UNUSED_UNUSED_UNUSED">"c7336"</definedName>
    <definedName name="IQ_ECO_METRIC_7337_UNUSED_UNUSED_UNUSED">"c7337"</definedName>
    <definedName name="IQ_ECO_METRIC_7428_UNUSED_UNUSED_UNUSED">"c7428"</definedName>
    <definedName name="IQ_ECO_METRIC_7556_UNUSED_UNUSED_UNUSED">"c7556"</definedName>
    <definedName name="IQ_ECO_METRIC_7557_UNUSED_UNUSED_UNUSED">"c7557"</definedName>
    <definedName name="IQ_ECO_METRIC_7648_UNUSED_UNUSED_UNUSED">"c7648"</definedName>
    <definedName name="IQ_ECO_METRIC_7705_UNUSED_UNUSED_UNUSED">"c7705"</definedName>
    <definedName name="IQ_ECO_METRIC_7719_UNUSED_UNUSED_UNUSED">"c7719"</definedName>
    <definedName name="IQ_ECO_METRIC_7776_UNUSED_UNUSED_UNUSED">"c7776"</definedName>
    <definedName name="IQ_ECO_METRIC_7777_UNUSED_UNUSED_UNUSED">"c7777"</definedName>
    <definedName name="IQ_ECO_METRIC_7868_UNUSED_UNUSED_UNUSED">"c7868"</definedName>
    <definedName name="IQ_ECO_METRIC_7925_UNUSED_UNUSED_UNUSED">"c7925"</definedName>
    <definedName name="IQ_ECO_METRIC_7939_UNUSED_UNUSED_UNUSED">"c7939"</definedName>
    <definedName name="IQ_ECO_METRIC_7996_UNUSED_UNUSED_UNUSED">"c7996"</definedName>
    <definedName name="IQ_ECO_METRIC_7997_UNUSED_UNUSED_UNUSED">"c7997"</definedName>
    <definedName name="IQ_ECO_METRIC_8088_UNUSED_UNUSED_UNUSED">"c8088"</definedName>
    <definedName name="IQ_ECO_METRIC_8145_UNUSED_UNUSED_UNUSED">"c8145"</definedName>
    <definedName name="IQ_ECO_METRIC_8159_UNUSED_UNUSED_UNUSED">"c8159"</definedName>
    <definedName name="IQ_ECO_METRIC_8216_UNUSED_UNUSED_UNUSED">"c8216"</definedName>
    <definedName name="IQ_ECO_METRIC_8217_UNUSED_UNUSED_UNUSED">"c8217"</definedName>
    <definedName name="IQ_ECO_METRIC_8308_UNUSED_UNUSED_UNUSED">"c8308"</definedName>
    <definedName name="IQ_ECO_METRIC_8436_UNUSED_UNUSED_UNUSED">"c8436"</definedName>
    <definedName name="IQ_ECO_METRIC_8437_UNUSED_UNUSED_UNUSED">"c8437"</definedName>
    <definedName name="IQ_ECO_METRIC_8528_UNUSED_UNUSED_UNUSED">"c8528"</definedName>
    <definedName name="IQ_EFFICIENCY_RATIO_FDIC">"c6736"</definedName>
    <definedName name="IQ_EPS">"IQ_EPS"</definedName>
    <definedName name="IQ_EPS_10K">"IQ_EPS_10K"</definedName>
    <definedName name="IQ_EPS_10Q">"IQ_EPS_10Q"</definedName>
    <definedName name="IQ_EPS_10Q1">"IQ_EPS_10Q1"</definedName>
    <definedName name="IQ_EPS_EST_1">"IQ_EPS_EST_1"</definedName>
    <definedName name="IQ_EPS_EST_REUT">"c5453"</definedName>
    <definedName name="IQ_EPS_GW_EST_REUT">"c5389"</definedName>
    <definedName name="IQ_EPS_GW_HIGH_EST_REUT">"c5391"</definedName>
    <definedName name="IQ_EPS_GW_LOW_EST_REUT">"c5392"</definedName>
    <definedName name="IQ_EPS_GW_MEDIAN_EST_REUT">"c5390"</definedName>
    <definedName name="IQ_EPS_GW_NUM_EST_REUT">"c5393"</definedName>
    <definedName name="IQ_EPS_GW_STDDEV_EST_REUT">"c5394"</definedName>
    <definedName name="IQ_EPS_HIGH_EST_REUT">"c5454"</definedName>
    <definedName name="IQ_EPS_LOW_EST_REUT">"c5455"</definedName>
    <definedName name="IQ_EPS_MEDIAN_EST_REUT">"c5456"</definedName>
    <definedName name="IQ_EPS_NO_EST">"c271"</definedName>
    <definedName name="IQ_EPS_NORM_EST_REUT">"c5326"</definedName>
    <definedName name="IQ_EPS_NORM_HIGH_EST_REUT">"c5328"</definedName>
    <definedName name="IQ_EPS_NORM_LOW_EST_REUT">"c5329"</definedName>
    <definedName name="IQ_EPS_NORM_MEDIAN_EST_REUT">"c5327"</definedName>
    <definedName name="IQ_EPS_NORM_NUM_EST_REUT">"c5330"</definedName>
    <definedName name="IQ_EPS_NORM_STDDEV_EST_REUT">"c5331"</definedName>
    <definedName name="IQ_EPS_NUM_EST_REUT">"c5451"</definedName>
    <definedName name="IQ_EPS_PRIMARY_EST">"c2226"</definedName>
    <definedName name="IQ_EPS_PRIMARY_HIGH_EST">"c2228"</definedName>
    <definedName name="IQ_EPS_PRIMARY_LOW_EST">"c2229"</definedName>
    <definedName name="IQ_EPS_PRIMARY_MEDIAN_EST">"c2227"</definedName>
    <definedName name="IQ_EPS_PRIMARY_NUM_EST">"c2230"</definedName>
    <definedName name="IQ_EPS_PRIMARY_STDDEV_EST">"c2231"</definedName>
    <definedName name="IQ_EPS_REPORTED_EST_REUT">"c5396"</definedName>
    <definedName name="IQ_EPS_REPORTED_HIGH_EST_REUT">"c5398"</definedName>
    <definedName name="IQ_EPS_REPORTED_LOW_EST_REUT">"c5399"</definedName>
    <definedName name="IQ_EPS_REPORTED_MEDIAN_EST_REUT">"c5397"</definedName>
    <definedName name="IQ_EPS_REPORTED_NUM_EST_REUT">"c5400"</definedName>
    <definedName name="IQ_EPS_REPORTED_STDDEV_EST_REUT">"c5401"</definedName>
    <definedName name="IQ_EPS_STDDEV_EST_REUT">"c5452"</definedName>
    <definedName name="IQ_EQUITY_CAPITAL_ASSETS_FDIC">"c6744"</definedName>
    <definedName name="IQ_EQUITY_FDIC">"c6353"</definedName>
    <definedName name="IQ_EQUITY_SECURITIES_FDIC">"c6304"</definedName>
    <definedName name="IQ_EQUITY_SECURITY_EXPOSURES_FDIC">"c6664"</definedName>
    <definedName name="IQ_EST_ACT_BV_REUT">"c5409"</definedName>
    <definedName name="IQ_EST_ACT_BV_THOM">"c5153"</definedName>
    <definedName name="IQ_EST_ACT_EPS_GW_REUT">"c5395"</definedName>
    <definedName name="IQ_EST_ACT_EPS_NORM_REUT">"c5332"</definedName>
    <definedName name="IQ_EST_ACT_EPS_PRIMARY">"c2232"</definedName>
    <definedName name="IQ_EST_ACT_EPS_REPORTED_REUT">"c5402"</definedName>
    <definedName name="IQ_EST_ACT_FFO_REUT">"c3843"</definedName>
    <definedName name="IQ_EST_BV_DIFF_CIQ">"c4765"</definedName>
    <definedName name="IQ_EST_BV_DIFF_REUT">"c5433"</definedName>
    <definedName name="IQ_EST_BV_DIFF_THOM">"c5204"</definedName>
    <definedName name="IQ_EST_BV_SURPRISE_PERCENT_CIQ">"c4766"</definedName>
    <definedName name="IQ_EST_BV_SURPRISE_PERCENT_REUT">"c5434"</definedName>
    <definedName name="IQ_EST_BV_SURPRISE_PERCENT_THOM">"c5205"</definedName>
    <definedName name="IQ_EST_CURRENCY_REUT">"c5437"</definedName>
    <definedName name="IQ_EST_DATE_REUT">"c5438"</definedName>
    <definedName name="IQ_EST_EPS_GROWTH_1YR_REUT">"c3646"</definedName>
    <definedName name="IQ_EST_EPS_GROWTH_5YR_REUT">"c3633"</definedName>
    <definedName name="IQ_EST_EPS_GROWTH_Q_1YR_REUT">"c5410"</definedName>
    <definedName name="IQ_EST_EPS_GW_DIFF_REUT">"c5429"</definedName>
    <definedName name="IQ_EST_EPS_GW_SURPRISE_PERCENT_REUT">"c5430"</definedName>
    <definedName name="IQ_EST_EPS_NORM_DIFF_REUT">"c5411"</definedName>
    <definedName name="IQ_EST_EPS_NORM_SURPRISE_PERCENT_REUT">"c5412"</definedName>
    <definedName name="IQ_EST_EPS_REPORT_DIFF_REUT">"c5431"</definedName>
    <definedName name="IQ_EST_EPS_REPORT_SURPRISE_PERCENT_REUT">"c5432"</definedName>
    <definedName name="IQ_EST_EPS_SURPRISE">"c1635"</definedName>
    <definedName name="IQ_EST_FFO_DIFF_REUT">"c3890"</definedName>
    <definedName name="IQ_EST_FFO_SURPRISE_PERCENT_REUT">"c3891"</definedName>
    <definedName name="IQ_EST_NUM_BUY_CIQ">"c3700"</definedName>
    <definedName name="IQ_EST_NUM_BUY_REUT">"c3869"</definedName>
    <definedName name="IQ_EST_NUM_BUY_THOM">"c5165"</definedName>
    <definedName name="IQ_EST_NUM_HOLD_CIQ">"c3702"</definedName>
    <definedName name="IQ_EST_NUM_HOLD_REUT">"c3871"</definedName>
    <definedName name="IQ_EST_NUM_HOLD_THOM">"c5167"</definedName>
    <definedName name="IQ_EST_NUM_OUTPERFORM_CIQ">"c3701"</definedName>
    <definedName name="IQ_EST_NUM_OUTPERFORM_REUT">"c3870"</definedName>
    <definedName name="IQ_EST_NUM_OUTPERFORM_THOM">"c5166"</definedName>
    <definedName name="IQ_EST_NUM_SELL_CIQ">"c3704"</definedName>
    <definedName name="IQ_EST_NUM_SELL_REUT">"c3873"</definedName>
    <definedName name="IQ_EST_NUM_SELL_THOM">"c5169"</definedName>
    <definedName name="IQ_EST_NUM_UNDERPERFORM_CIQ">"c3703"</definedName>
    <definedName name="IQ_EST_NUM_UNDERPERFORM_REUT">"c3872"</definedName>
    <definedName name="IQ_EST_NUM_UNDERPERFORM_THOM">"c5168"</definedName>
    <definedName name="IQ_ESTIMATED_ASSESSABLE_DEPOSITS_FDIC">"c6490"</definedName>
    <definedName name="IQ_ESTIMATED_INSURED_DEPOSITS_FDIC">"c6491"</definedName>
    <definedName name="IQ_EV_OVER_REVENUE_EST">"IQ_EV_OVER_REVENUE_EST"</definedName>
    <definedName name="IQ_EV_OVER_REVENUE_EST_1">"IQ_EV_OVER_REVENUE_EST_1"</definedName>
    <definedName name="IQ_EXPENSE_CODE_">1360</definedName>
    <definedName name="IQ_EXPORTS_APR_FC_UNUSED_UNUSED_UNUSED">"c8401"</definedName>
    <definedName name="IQ_EXPORTS_APR_UNUSED_UNUSED_UNUSED">"c7521"</definedName>
    <definedName name="IQ_EXPORTS_FC_UNUSED_UNUSED_UNUSED">"c7741"</definedName>
    <definedName name="IQ_EXPORTS_GOODS_REAL_SAAR_APR_FC_UNUSED_UNUSED_UNUSED">"c8512"</definedName>
    <definedName name="IQ_EXPORTS_GOODS_REAL_SAAR_APR_UNUSED_UNUSED_UNUSED">"c7632"</definedName>
    <definedName name="IQ_EXPORTS_GOODS_REAL_SAAR_FC_UNUSED_UNUSED_UNUSED">"c7852"</definedName>
    <definedName name="IQ_EXPORTS_GOODS_REAL_SAAR_POP_FC_UNUSED_UNUSED_UNUSED">"c8072"</definedName>
    <definedName name="IQ_EXPORTS_GOODS_REAL_SAAR_POP_UNUSED_UNUSED_UNUSED">"c7192"</definedName>
    <definedName name="IQ_EXPORTS_GOODS_REAL_SAAR_UNUSED_UNUSED_UNUSED">"c6972"</definedName>
    <definedName name="IQ_EXPORTS_GOODS_REAL_SAAR_YOY_FC_UNUSED_UNUSED_UNUSED">"c8292"</definedName>
    <definedName name="IQ_EXPORTS_GOODS_REAL_SAAR_YOY_UNUSED_UNUSED_UNUSED">"c7412"</definedName>
    <definedName name="IQ_EXPORTS_POP_FC_UNUSED_UNUSED_UNUSED">"c7961"</definedName>
    <definedName name="IQ_EXPORTS_POP_UNUSED_UNUSED_UNUSED">"c7081"</definedName>
    <definedName name="IQ_EXPORTS_SERVICES_REAL_SAAR_APR_FC_UNUSED_UNUSED_UNUSED">"c8516"</definedName>
    <definedName name="IQ_EXPORTS_SERVICES_REAL_SAAR_APR_UNUSED_UNUSED_UNUSED">"c7636"</definedName>
    <definedName name="IQ_EXPORTS_SERVICES_REAL_SAAR_FC_UNUSED_UNUSED_UNUSED">"c7856"</definedName>
    <definedName name="IQ_EXPORTS_SERVICES_REAL_SAAR_POP_FC_UNUSED_UNUSED_UNUSED">"c8076"</definedName>
    <definedName name="IQ_EXPORTS_SERVICES_REAL_SAAR_POP_UNUSED_UNUSED_UNUSED">"c7196"</definedName>
    <definedName name="IQ_EXPORTS_SERVICES_REAL_SAAR_UNUSED_UNUSED_UNUSED">"c6976"</definedName>
    <definedName name="IQ_EXPORTS_SERVICES_REAL_SAAR_YOY_FC_UNUSED_UNUSED_UNUSED">"c8296"</definedName>
    <definedName name="IQ_EXPORTS_SERVICES_REAL_SAAR_YOY_UNUSED_UNUSED_UNUSED">"c7416"</definedName>
    <definedName name="IQ_EXPORTS_UNUSED_UNUSED_UNUSED">"c6861"</definedName>
    <definedName name="IQ_EXPORTS_YOY_FC_UNUSED_UNUSED_UNUSED">"c8181"</definedName>
    <definedName name="IQ_EXPORTS_YOY_UNUSED_UNUSED_UNUSED">"c7301"</definedName>
    <definedName name="IQ_EXTRA_ACC_ITEMS_BR">"c412"</definedName>
    <definedName name="IQ_EXTRAORDINARY_GAINS_FDIC">"c6586"</definedName>
    <definedName name="IQ_FAIR_VALUE_FDIC">"c6427"</definedName>
    <definedName name="IQ_FARM_LOANS_NET_FDIC">"c6316"</definedName>
    <definedName name="IQ_FARM_LOANS_TOTAL_LOANS_FOREIGN_FDIC">"c6450"</definedName>
    <definedName name="IQ_FARMLAND_LOANS_FDIC">"c6314"</definedName>
    <definedName name="IQ_FED_FUNDS_PURCHASED_FDIC">"c6343"</definedName>
    <definedName name="IQ_FED_FUNDS_SOLD_FDIC">"c6307"</definedName>
    <definedName name="IQ_FFO_EST_REUT">"c3837"</definedName>
    <definedName name="IQ_FFO_HIGH_EST_REUT">"c3839"</definedName>
    <definedName name="IQ_FFO_LOW_EST_REUT">"c3840"</definedName>
    <definedName name="IQ_FFO_MEDIAN_EST_REUT">"c3838"</definedName>
    <definedName name="IQ_FFO_NO_EST">"c276"</definedName>
    <definedName name="IQ_FFO_NUM_EST_REUT">"c3841"</definedName>
    <definedName name="IQ_FFO_STDDEV_EST_REUT">"c3842"</definedName>
    <definedName name="IQ_FHLB_ADVANCES_FDIC">"c6366"</definedName>
    <definedName name="IQ_FHLB_DUE_AFTER_FIVE">"c2086"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N_DIV_CURRENT_PORT_DEBT_TOTAL">"c5524"</definedName>
    <definedName name="IQ_FIN_DIV_CURRENT_PORT_LEASES_TOTAL">"c5523"</definedName>
    <definedName name="IQ_FIN_DIV_DEBT_LT_TOTAL">"c5526"</definedName>
    <definedName name="IQ_FIN_DIV_LEASES_LT_TOTAL">"c5525"</definedName>
    <definedName name="IQ_FIN_DIV_NOTES_PAY_TOTAL">"c5522"</definedName>
    <definedName name="IQ_FISCAL_Q_EST_REUT">"c6798"</definedName>
    <definedName name="IQ_FISCAL_Y_EST_REUT">"c6799"</definedName>
    <definedName name="IQ_FIVE_YEAR_FIXED_AND_FLOATING_RATE_FDIC">"c6422"</definedName>
    <definedName name="IQ_FIVE_YEAR_MORTGAGE_PASS_THROUGHS_FDIC">"c6414"</definedName>
    <definedName name="IQ_FIXED_INVEST_APR_FC_UNUSED_UNUSED_UNUSED">"c8410"</definedName>
    <definedName name="IQ_FIXED_INVEST_APR_UNUSED_UNUSED_UNUSED">"c7530"</definedName>
    <definedName name="IQ_FIXED_INVEST_FC_UNUSED_UNUSED_UNUSED">"c7750"</definedName>
    <definedName name="IQ_FIXED_INVEST_POP_FC_UNUSED_UNUSED_UNUSED">"c7970"</definedName>
    <definedName name="IQ_FIXED_INVEST_POP_UNUSED_UNUSED_UNUSED">"c7090"</definedName>
    <definedName name="IQ_FIXED_INVEST_REAL_APR_FC_UNUSED_UNUSED_UNUSED">"c8518"</definedName>
    <definedName name="IQ_FIXED_INVEST_REAL_APR_UNUSED_UNUSED_UNUSED">"c7638"</definedName>
    <definedName name="IQ_FIXED_INVEST_REAL_FC_UNUSED_UNUSED_UNUSED">"c7858"</definedName>
    <definedName name="IQ_FIXED_INVEST_REAL_POP_FC_UNUSED_UNUSED_UNUSED">"c8078"</definedName>
    <definedName name="IQ_FIXED_INVEST_REAL_POP_UNUSED_UNUSED_UNUSED">"c7198"</definedName>
    <definedName name="IQ_FIXED_INVEST_REAL_UNUSED_UNUSED_UNUSED">"c6978"</definedName>
    <definedName name="IQ_FIXED_INVEST_REAL_YOY_FC_UNUSED_UNUSED_UNUSED">"c8298"</definedName>
    <definedName name="IQ_FIXED_INVEST_REAL_YOY_UNUSED_UNUSED_UNUSED">"c7418"</definedName>
    <definedName name="IQ_FIXED_INVEST_UNUSED_UNUSED_UNUSED">"c6870"</definedName>
    <definedName name="IQ_FIXED_INVEST_YOY_FC_UNUSED_UNUSED_UNUSED">"c8190"</definedName>
    <definedName name="IQ_FIXED_INVEST_YOY_UNUSED_UNUSED_UNUSED">"c7310"</definedName>
    <definedName name="IQ_FNMA_FHLMC_FDIC">"c6397"</definedName>
    <definedName name="IQ_FNMA_FHLMC_GNMA_FDIC">"c6399"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.S._BANKS_LOANS_FDIC">"c6438"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OSITS_NONTRANSACTION_ACCOUNTS_FDIC">"c6549"</definedName>
    <definedName name="IQ_FOREIGN_DEPOSITS_TRANSACTION_ACCOUNTS_FDIC">"c6541"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ULLY_INSURED_DEPOSITS_FDIC">"c6487"</definedName>
    <definedName name="IQ_FUTURES_FORWARD_CONTRACTS_NOTIONAL_AMOUNT_FDIC">"c6518"</definedName>
    <definedName name="IQ_FUTURES_FORWARD_CONTRACTS_RATE_RISK_FDIC">"c6508"</definedName>
    <definedName name="IQ_FWD">"LTM"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WD_Q3">"504"</definedName>
    <definedName name="IQ_FWD_Q4">"505"</definedName>
    <definedName name="IQ_FWD_Q5">"506"</definedName>
    <definedName name="IQ_FWD_Q6">"507"</definedName>
    <definedName name="IQ_FWD_Q7">"508"</definedName>
    <definedName name="IQ_FWD1">"LTM"</definedName>
    <definedName name="IQ_FX_CONTRACTS_FDIC">"c6517"</definedName>
    <definedName name="IQ_FX_CONTRACTS_SPOT_FDIC">"c6356"</definedName>
    <definedName name="IQ_FY_DATE">"IQ_FY_DATE"</definedName>
    <definedName name="IQ_GAIN_ASSETS_BR">"c454"</definedName>
    <definedName name="IQ_GAIN_ASSETS_CF_BR">"c457"</definedName>
    <definedName name="IQ_GAIN_ASSETS_REV_BR">"c474"</definedName>
    <definedName name="IQ_GAIN_INVEST_BR">"c1464"</definedName>
    <definedName name="IQ_GAIN_INVEST_CF_BR">"c482"</definedName>
    <definedName name="IQ_GAIN_INVEST_REC_BNK">"c488"</definedName>
    <definedName name="IQ_GAIN_INVEST_REV_BR">"c496"</definedName>
    <definedName name="IQ_GAIN_SALE_LOANS_FDIC">"c6673"</definedName>
    <definedName name="IQ_GAIN_SALE_RE_FDIC">"c6674"</definedName>
    <definedName name="IQ_GAINS_SALE_ASSETS_FDIC">"c6675"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ROSS_INTAN">"c520"</definedName>
    <definedName name="IQ_GW_AMORT_BR">"c532"</definedName>
    <definedName name="IQ_GW_INTAN_AMORT_BR">"c1470"</definedName>
    <definedName name="IQ_GW_INTAN_AMORT_CF_BR">"c1473"</definedName>
    <definedName name="IQ_HELD_MATURITY_FDIC">"c6408"</definedName>
    <definedName name="IQ_HIGH_TARGET_PRICE_REUT">"c5317"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USING_COMPLETIONS_SINGLE_FAM_APR_FC_UNUSED_UNUSED_UNUSED">"c8422"</definedName>
    <definedName name="IQ_HOUSING_COMPLETIONS_SINGLE_FAM_APR_UNUSED_UNUSED_UNUSED">"c7542"</definedName>
    <definedName name="IQ_HOUSING_COMPLETIONS_SINGLE_FAM_FC_UNUSED_UNUSED_UNUSED">"c7762"</definedName>
    <definedName name="IQ_HOUSING_COMPLETIONS_SINGLE_FAM_POP_FC_UNUSED_UNUSED_UNUSED">"c7982"</definedName>
    <definedName name="IQ_HOUSING_COMPLETIONS_SINGLE_FAM_POP_UNUSED_UNUSED_UNUSED">"c7102"</definedName>
    <definedName name="IQ_HOUSING_COMPLETIONS_SINGLE_FAM_UNUSED_UNUSED_UNUSED">"c6882"</definedName>
    <definedName name="IQ_HOUSING_COMPLETIONS_SINGLE_FAM_YOY_FC_UNUSED_UNUSED_UNUSED">"c8202"</definedName>
    <definedName name="IQ_HOUSING_COMPLETIONS_SINGLE_FAM_YOY_UNUSED_UNUSED_UNUSED">"c7322"</definedName>
    <definedName name="IQ_IMPORTS_GOODS_REAL_SAAR_APR_FC_UNUSED_UNUSED_UNUSED">"c8523"</definedName>
    <definedName name="IQ_IMPORTS_GOODS_REAL_SAAR_APR_UNUSED_UNUSED_UNUSED">"c7643"</definedName>
    <definedName name="IQ_IMPORTS_GOODS_REAL_SAAR_FC_UNUSED_UNUSED_UNUSED">"c7863"</definedName>
    <definedName name="IQ_IMPORTS_GOODS_REAL_SAAR_POP_FC_UNUSED_UNUSED_UNUSED">"c8083"</definedName>
    <definedName name="IQ_IMPORTS_GOODS_REAL_SAAR_POP_UNUSED_UNUSED_UNUSED">"c7203"</definedName>
    <definedName name="IQ_IMPORTS_GOODS_REAL_SAAR_UNUSED_UNUSED_UNUSED">"c6983"</definedName>
    <definedName name="IQ_IMPORTS_GOODS_REAL_SAAR_YOY_FC_UNUSED_UNUSED_UNUSED">"c8303"</definedName>
    <definedName name="IQ_IMPORTS_GOODS_REAL_SAAR_YOY_UNUSED_UNUSED_UNUSED">"c7423"</definedName>
    <definedName name="IQ_IMPORTS_GOODS_SERVICES_APR_FC_UNUSED_UNUSED_UNUSED">"c8429"</definedName>
    <definedName name="IQ_IMPORTS_GOODS_SERVICES_APR_UNUSED_UNUSED_UNUSED">"c7549"</definedName>
    <definedName name="IQ_IMPORTS_GOODS_SERVICES_FC_UNUSED_UNUSED_UNUSED">"c7769"</definedName>
    <definedName name="IQ_IMPORTS_GOODS_SERVICES_POP_FC_UNUSED_UNUSED_UNUSED">"c7989"</definedName>
    <definedName name="IQ_IMPORTS_GOODS_SERVICES_POP_UNUSED_UNUSED_UNUSED">"c7109"</definedName>
    <definedName name="IQ_IMPORTS_GOODS_SERVICES_REAL_SAAR_APR_FC_UNUSED_UNUSED_UNUSED">"c8524"</definedName>
    <definedName name="IQ_IMPORTS_GOODS_SERVICES_REAL_SAAR_APR_UNUSED_UNUSED_UNUSED">"c7644"</definedName>
    <definedName name="IQ_IMPORTS_GOODS_SERVICES_REAL_SAAR_FC_UNUSED_UNUSED_UNUSED">"c7864"</definedName>
    <definedName name="IQ_IMPORTS_GOODS_SERVICES_REAL_SAAR_POP_FC_UNUSED_UNUSED_UNUSED">"c8084"</definedName>
    <definedName name="IQ_IMPORTS_GOODS_SERVICES_REAL_SAAR_POP_UNUSED_UNUSED_UNUSED">"c7204"</definedName>
    <definedName name="IQ_IMPORTS_GOODS_SERVICES_REAL_SAAR_UNUSED_UNUSED_UNUSED">"c6984"</definedName>
    <definedName name="IQ_IMPORTS_GOODS_SERVICES_REAL_SAAR_YOY_FC_UNUSED_UNUSED_UNUSED">"c8304"</definedName>
    <definedName name="IQ_IMPORTS_GOODS_SERVICES_REAL_SAAR_YOY_UNUSED_UNUSED_UNUSED">"c7424"</definedName>
    <definedName name="IQ_IMPORTS_GOODS_SERVICES_UNUSED_UNUSED_UNUSED">"c6889"</definedName>
    <definedName name="IQ_IMPORTS_GOODS_SERVICES_YOY_FC_UNUSED_UNUSED_UNUSED">"c8209"</definedName>
    <definedName name="IQ_IMPORTS_GOODS_SERVICES_YOY_UNUSED_UNUSED_UNUSED">"c7329"</definedName>
    <definedName name="IQ_INC_EQUITY_BR">"c550"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ES_FDIC">"c6582"</definedName>
    <definedName name="IQ_INDEX_PROVIDED_DIVIDEND">"c19252"</definedName>
    <definedName name="IQ_INDEXCONSTITUENT_CLOSEPRICE">"c19241"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S_SETTLE_BR">"c572"</definedName>
    <definedName name="IQ_INSIDER_3MTH_BOUGHT">"c1534"</definedName>
    <definedName name="IQ_INSIDER_3MTH_NET">"c1535"</definedName>
    <definedName name="IQ_INSIDER_3MTH_SOLD">"c1533"</definedName>
    <definedName name="IQ_INSIDER_6MTH_BOUGHT">"c1537"</definedName>
    <definedName name="IQ_INSIDER_6MTH_NET">"c1538"</definedName>
    <definedName name="IQ_INSIDER_6MTH_SOLD">"c1536"</definedName>
    <definedName name="IQ_INSIDER_LOANS_FDIC">"c6365"</definedName>
    <definedName name="IQ_INSTITUTIONS_EARNINGS_GAINS_FDIC">"c6723"</definedName>
    <definedName name="IQ_INSURANCE_COMMISSION_FEES_FDIC">"c6670"</definedName>
    <definedName name="IQ_INSURANCE_UNDERWRITING_INCOME_FDIC">"c6671"</definedName>
    <definedName name="IQ_INT_DEMAND_NOTES_FDIC">"c6567"</definedName>
    <definedName name="IQ_INT_DOMESTIC_DEPOSITS_FDIC">"c6564"</definedName>
    <definedName name="IQ_INT_EXP_BR">"c586"</definedName>
    <definedName name="IQ_INT_EXP_TOTAL_FDIC">"c6569"</definedName>
    <definedName name="IQ_INT_FED_FUNDS_FDIC">"c6566"</definedName>
    <definedName name="IQ_INT_FOREIGN_DEPOSITS_FDIC">"c6565"</definedName>
    <definedName name="IQ_INT_INC_BR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OREIGN_LOANS_FDIC">"c6556"</definedName>
    <definedName name="IQ_INT_INC_LEASE_RECEIVABLES_FDIC">"c6557"</definedName>
    <definedName name="IQ_INT_INC_OTHER_FDIC">"c6562"</definedName>
    <definedName name="IQ_INT_INC_SECURITIES_FDIC">"c6559"</definedName>
    <definedName name="IQ_INT_INC_TOTAL_FDIC">"c6563"</definedName>
    <definedName name="IQ_INT_INC_TRADING_ACCOUNTS_FDIC">"c6560"</definedName>
    <definedName name="IQ_INT_SUB_NOTES_FDIC">"c6568"</definedName>
    <definedName name="IQ_INTEREST_BEARING_BALANCES_FDIC">"c6371"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INC_10K">"IQ_INTEREST_INC_10K"</definedName>
    <definedName name="IQ_INTEREST_INC_10Q">"IQ_INTEREST_INC_10Q"</definedName>
    <definedName name="IQ_INTEREST_INC_10Q1">"IQ_INTEREST_INC_10Q1"</definedName>
    <definedName name="IQ_INTEREST_LT_DEBT">"c2086"</definedName>
    <definedName name="IQ_INTEREST_RATE_CONTRACTS_FDIC">"c6512"</definedName>
    <definedName name="IQ_INTEREST_RATE_EXPOSURES_FDIC">"c6662"</definedName>
    <definedName name="IQ_INVEST_LOANS_CF_BR">"c630"</definedName>
    <definedName name="IQ_INVEST_SECURITY_CF_BR">"c639"</definedName>
    <definedName name="IQ_INVESTMENT_BANKING_OTHER_FEES_FDIC">"c6666"</definedName>
    <definedName name="IQ_IRA_KEOGH_ACCOUNTS_FDIC">"c6496"</definedName>
    <definedName name="IQ_ISM_SERVICES_APR_FC_UNUSED_UNUSED_UNUSED">"c8443"</definedName>
    <definedName name="IQ_ISM_SERVICES_APR_UNUSED_UNUSED_UNUSED">"c7563"</definedName>
    <definedName name="IQ_ISM_SERVICES_FC_UNUSED_UNUSED_UNUSED">"c7783"</definedName>
    <definedName name="IQ_ISM_SERVICES_POP_FC_UNUSED_UNUSED_UNUSED">"c8003"</definedName>
    <definedName name="IQ_ISM_SERVICES_POP_UNUSED_UNUSED_UNUSED">"c7123"</definedName>
    <definedName name="IQ_ISM_SERVICES_UNUSED_UNUSED_UNUSED">"c6903"</definedName>
    <definedName name="IQ_ISM_SERVICES_YOY_FC_UNUSED_UNUSED_UNUSED">"c8223"</definedName>
    <definedName name="IQ_ISM_SERVICES_YOY_UNUSED_UNUSED_UNUSED">"c7343"</definedName>
    <definedName name="IQ_ISSUED_GUARANTEED_US_FDIC">"c6404"</definedName>
    <definedName name="IQ_LAST_EBIT_MARGIN">"IQ_LAST_EBIT_MARGIN"</definedName>
    <definedName name="IQ_LAST_EBITDA_MARGIN">"IQ_LAST_EBITDA_MARGIN"</definedName>
    <definedName name="IQ_LAST_GROSS_MARGIN">"IQ_LAST_GROSS_MARGIN"</definedName>
    <definedName name="IQ_LAST_NET_INC_MARGIN">"IQ_LAST_NET_INC_MARGIN"</definedName>
    <definedName name="IQ_LATEST">"1"</definedName>
    <definedName name="IQ_LATESTK">1000</definedName>
    <definedName name="IQ_LATESTKFR">"50"</definedName>
    <definedName name="IQ_LATESTQ">500</definedName>
    <definedName name="IQ_LATESTQFR">"100"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RECOVERIES_FDIC">"c6621"</definedName>
    <definedName name="IQ_LEASE_FINANCING_RECEIVABLES_TOTAL_LOANS_FOREIGN_FDIC">"c6449"</definedName>
    <definedName name="IQ_LEGAL_SETTLE_BR">"c649"</definedName>
    <definedName name="IQ_LIFE_INSURANCE_ASSETS_FDIC">"c6372"</definedName>
    <definedName name="IQ_LOAN_COMMITMENTS_REVOLVING_FDIC">"c6524"</definedName>
    <definedName name="IQ_LOAN_LOSS_ALLOW_FDIC">"c6326"</definedName>
    <definedName name="IQ_LOAN_LOSS_ALLOWANCE_NONCURRENT_LOANS_FDIC">"c6740"</definedName>
    <definedName name="IQ_LOAN_LOSSES_FDIC">"c6580"</definedName>
    <definedName name="IQ_LOANS_AND_LEASES_HELD_FDIC">"c6367"</definedName>
    <definedName name="IQ_LOANS_CF_BR">"c661"</definedName>
    <definedName name="IQ_LOANS_DEPOSITORY_INSTITUTIONS_FDIC">"c6382"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NET_FDIC">"c6327"</definedName>
    <definedName name="IQ_LOANS_LEASES_NET_UNEARNED_FDIC">"c6325"</definedName>
    <definedName name="IQ_LOANS_NOT_SECURED_RE_FDIC">"c6381"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SS_ALLOWANCE_LOANS_FDIC">"c6739"</definedName>
    <definedName name="IQ_LOW_TARGET_PRICE_REUT">"c5318"</definedName>
    <definedName name="IQ_LT_DEBT_BR">"c676"</definedName>
    <definedName name="IQ_LT_DEBT_ISSUED_BR">"c683"</definedName>
    <definedName name="IQ_LT_DEBT_REPAID_BR">"c691"</definedName>
    <definedName name="IQ_LT_INVEST_BR">"c698"</definedName>
    <definedName name="IQ_LT_SENIOR_DEBT">"c702"</definedName>
    <definedName name="IQ_LT_SUB_DEBT">"c703"</definedName>
    <definedName name="IQ_LTM_DATE">"IQ_LTM_DATE"</definedName>
    <definedName name="IQ_LTMMONTH">120000</definedName>
    <definedName name="IQ_MATURITY_ONE_YEAR_LESS_FDIC">"c6425"</definedName>
    <definedName name="IQ_MEDIAN_NEW_HOME_SALES_APR_FC_UNUSED_UNUSED_UNUSED">"c8460"</definedName>
    <definedName name="IQ_MEDIAN_NEW_HOME_SALES_APR_UNUSED_UNUSED_UNUSED">"c7580"</definedName>
    <definedName name="IQ_MEDIAN_NEW_HOME_SALES_FC_UNUSED_UNUSED_UNUSED">"c7800"</definedName>
    <definedName name="IQ_MEDIAN_NEW_HOME_SALES_POP_FC_UNUSED_UNUSED_UNUSED">"c8020"</definedName>
    <definedName name="IQ_MEDIAN_NEW_HOME_SALES_POP_UNUSED_UNUSED_UNUSED">"c7140"</definedName>
    <definedName name="IQ_MEDIAN_NEW_HOME_SALES_UNUSED_UNUSED_UNUSED">"c6920"</definedName>
    <definedName name="IQ_MEDIAN_NEW_HOME_SALES_YOY_FC_UNUSED_UNUSED_UNUSED">"c8240"</definedName>
    <definedName name="IQ_MEDIAN_NEW_HOME_SALES_YOY_UNUSED_UNUSED_UNUSED">"c7360"</definedName>
    <definedName name="IQ_MEDIAN_TARGET_PRICE_REUT">"c5316"</definedName>
    <definedName name="IQ_MERGER_BR">"c715"</definedName>
    <definedName name="IQ_MERGER_RESTRUCTURE_BR">"c721"</definedName>
    <definedName name="IQ_MINORITY_INTEREST_BR">"c729"</definedName>
    <definedName name="IQ_MKTCAP_TOTAL_REV_FWD_REUT">"c4048"</definedName>
    <definedName name="IQ_MONEY_MARKET_DEPOSIT_ACCOUNTS_FDIC">"c6553"</definedName>
    <definedName name="IQ_MORTGAGE_BACKED_SECURITIES_FDIC">"c6402"</definedName>
    <definedName name="IQ_MORTGAGE_SERVICING_FDIC">"c6335"</definedName>
    <definedName name="IQ_MTD">800000</definedName>
    <definedName name="IQ_MULTIFAMILY_RESIDENTIAL_LOANS_FDIC">"c6311"</definedName>
    <definedName name="IQ_NAMES_REVISION_DATE_">"04/29/2022 10:10:24"</definedName>
    <definedName name="IQ_NAV_ACT_OR_EST">"c2225"</definedName>
    <definedName name="IQ_NET_CHARGE_OFFS_FDIC">"c6641"</definedName>
    <definedName name="IQ_NET_CHARGE_OFFS_LOANS_FDIC">"c6751"</definedName>
    <definedName name="IQ_NET_DEBT_ISSUED_BR">"c753"</definedName>
    <definedName name="IQ_NET_INC_10K">"IQ_NET_INC_10K"</definedName>
    <definedName name="IQ_NET_INC_10Q">"IQ_NET_INC_10Q"</definedName>
    <definedName name="IQ_NET_INC_10Q1">"IQ_NET_INC_10Q1"</definedName>
    <definedName name="IQ_NET_INC_GROWTH_1">"IQ_NET_INC_GROWTH_1"</definedName>
    <definedName name="IQ_NET_INC_GROWTH_2">"IQ_NET_INC_GROWTH_2"</definedName>
    <definedName name="IQ_NET_INCOME_FDIC">"c6587"</definedName>
    <definedName name="IQ_NET_INT_INC_BNK_FDIC">"c6570"</definedName>
    <definedName name="IQ_NET_INT_INC_BR">"c765"</definedName>
    <definedName name="IQ_NET_INTEREST_MARGIN_FDIC">"c6726"</definedName>
    <definedName name="IQ_NET_LOANS_LEASES_CORE_DEPOSITS_FDIC">"c6743"</definedName>
    <definedName name="IQ_NET_LOANS_LEASES_DEPOSITS_FDIC">"c6742"</definedName>
    <definedName name="IQ_NET_OPERATING_INCOME_ASSETS_FDIC">"c6729"</definedName>
    <definedName name="IQ_NET_SECURITIZATION_INCOME_FDIC">"c6669"</definedName>
    <definedName name="IQ_NET_SERVICING_FEES_FDIC">"c6668"</definedName>
    <definedName name="IQ_NON_INT_EXP_FDIC">"c6579"</definedName>
    <definedName name="IQ_NON_INT_INC_FDIC">"c6575"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OME_EARNING_ASSETS_FDIC">"c6727"</definedName>
    <definedName name="IQ_NONMORTGAGE_SERVICING_FDIC">"c6336"</definedName>
    <definedName name="IQ_NONRES_FIXED_INVEST_PRIV_APR_FC_UNUSED_UNUSED_UNUSED">"c8468"</definedName>
    <definedName name="IQ_NONRES_FIXED_INVEST_PRIV_APR_UNUSED_UNUSED_UNUSED">"c7588"</definedName>
    <definedName name="IQ_NONRES_FIXED_INVEST_PRIV_FC_UNUSED_UNUSED_UNUSED">"c7808"</definedName>
    <definedName name="IQ_NONRES_FIXED_INVEST_PRIV_POP_FC_UNUSED_UNUSED_UNUSED">"c8028"</definedName>
    <definedName name="IQ_NONRES_FIXED_INVEST_PRIV_POP_UNUSED_UNUSED_UNUSED">"c7148"</definedName>
    <definedName name="IQ_NONRES_FIXED_INVEST_PRIV_UNUSED_UNUSED_UNUSED">"c6928"</definedName>
    <definedName name="IQ_NONRES_FIXED_INVEST_PRIV_YOY_FC_UNUSED_UNUSED_UNUSED">"c8248"</definedName>
    <definedName name="IQ_NONRES_FIXED_INVEST_PRIV_YOY_UNUSED_UNUSED_UNUSED">"c7368"</definedName>
    <definedName name="IQ_NONTRANSACTION_ACCOUNTS_FDIC">"c6552"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UM_OFFICES">"c2088"</definedName>
    <definedName name="IQ_NUMBER_DEPOSITS_LESS_THAN_100K_FDIC">"c6495"</definedName>
    <definedName name="IQ_NUMBER_DEPOSITS_MORE_THAN_100K_FDIC">"c6493"</definedName>
    <definedName name="IQ_NUMBER_SHAREHOLDERS_CLASSB">"c1969"</definedName>
    <definedName name="IQ_OBLIGATIONS_OF_STATES_TOTAL_LOANS_FOREIGN_FDIC">"c6447"</definedName>
    <definedName name="IQ_OBLIGATIONS_STATES_FDIC">"c6431"</definedName>
    <definedName name="IQ_OG_OTHER_ADJ">"c1999"</definedName>
    <definedName name="IQ_OG_TOTAL_OIL_PRODUCTON">"c2059"</definedName>
    <definedName name="IQ_OPENED55">1</definedName>
    <definedName name="IQ_OPER_INC_BR">"c850"</definedName>
    <definedName name="IQ_OPTIONS_EXCERCISED">"c2116"</definedName>
    <definedName name="IQ_OPTIONS_OS">"c858"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MULTI_FAMILY_RESIDENTIAL_FDIC">"c6455"</definedName>
    <definedName name="IQ_OTHER_AMORT_BR">"c5566"</definedName>
    <definedName name="IQ_OTHER_ASSETS_BR">"c862"</definedName>
    <definedName name="IQ_OTHER_ASSETS_FDIC">"c6338"</definedName>
    <definedName name="IQ_OTHER_BORROWED_FUNDS_FDIC">"c6345"</definedName>
    <definedName name="IQ_OTHER_CA_SUPPL_BR">"c871"</definedName>
    <definedName name="IQ_OTHER_CL_SUPPL_BR">"c880"</definedName>
    <definedName name="IQ_OTHER_COMPREHENSIVE_INCOME_FDIC">"c6503"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QUITY_BR">"c888"</definedName>
    <definedName name="IQ_OTHER_FINANCE_ACT_BR">"c895"</definedName>
    <definedName name="IQ_OTHER_FINANCE_ACT_SUPPL_BR">"c901"</definedName>
    <definedName name="IQ_OTHER_INSURANCE_FEES_FDIC">"c6672"</definedName>
    <definedName name="IQ_OTHER_INTAN_BR">"c909"</definedName>
    <definedName name="IQ_OTHER_INTANGIBLE_FDIC">"c6337"</definedName>
    <definedName name="IQ_OTHER_INVEST_ACT_BR">"c918"</definedName>
    <definedName name="IQ_OTHER_INVEST_ACT_SUPPL_BR">"c924"</definedName>
    <definedName name="IQ_OTHER_LIAB_BR">"c932"</definedName>
    <definedName name="IQ_OTHER_LIAB_LT_BR">"c937"</definedName>
    <definedName name="IQ_OTHER_LIABILITIES_FDIC">"c6347"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T_ASSETS_BR">"c948"</definedName>
    <definedName name="IQ_OTHER_MINING_REVENUE_COAL">"c15931"</definedName>
    <definedName name="IQ_OTHER_NON_INT_EXP_FDIC">"c6578"</definedName>
    <definedName name="IQ_OTHER_NON_INT_EXPENSE_FDIC">"c6679"</definedName>
    <definedName name="IQ_OTHER_NON_INT_INC_FDIC">"c6676"</definedName>
    <definedName name="IQ_OTHER_NON_OPER_EXP_BR">"c957"</definedName>
    <definedName name="IQ_OTHER_NON_OPER_EXP_SUPPL_BR">"c962"</definedName>
    <definedName name="IQ_OTHER_OFF_BS_LIAB_FDIC">"c6533"</definedName>
    <definedName name="IQ_OTHER_OPER_ACT_BR">"c985"</definedName>
    <definedName name="IQ_OTHER_OPER_BR">"c990"</definedName>
    <definedName name="IQ_OTHER_OPER_SUPPL_BR">"c994"</definedName>
    <definedName name="IQ_OTHER_OPER_TOT_BR">"c1000"</definedName>
    <definedName name="IQ_OTHER_RE_OWNED_FDIC">"c6330"</definedName>
    <definedName name="IQ_OTHER_REV_BR">"c1011"</definedName>
    <definedName name="IQ_OTHER_REV_SUPPL_BR">"c1016"</definedName>
    <definedName name="IQ_OTHER_SAVINGS_DEPOSITS_FDIC">"c6554"</definedName>
    <definedName name="IQ_OTHER_TRANSACTIONS_FDIC">"c6504"</definedName>
    <definedName name="IQ_OTHER_UNUSED_COMMITMENTS_FDIC">"c6530"</definedName>
    <definedName name="IQ_OTHER_UNUSUAL_BR">"c1561"</definedName>
    <definedName name="IQ_OTHER_UNUSUAL_SUPPL_BR">"c1496"</definedName>
    <definedName name="IQ_OUTSTANDING_FILING_DATE_TOTAL">"c2107"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PARTICIPATION_POOLS_RESIDENTIAL_MORTGAGES_FDIC">"c6403"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C_WRITTEN">"c1027"</definedName>
    <definedName name="IQ_PE_EXCL_FWD_REUT">"c4049"</definedName>
    <definedName name="IQ_PEG_FWD_REUT">"c4052"</definedName>
    <definedName name="IQ_PERCENT_CHANGE_EST_FFO_12MONTHS">"c1828"</definedName>
    <definedName name="IQ_PERCENT_CHANGE_EST_FFO_12MONTHS_REUT">"c3938"</definedName>
    <definedName name="IQ_PERCENT_CHANGE_EST_FFO_18MONTHS">"c1829"</definedName>
    <definedName name="IQ_PERCENT_CHANGE_EST_FFO_18MONTHS_REUT">"c3939"</definedName>
    <definedName name="IQ_PERCENT_CHANGE_EST_FFO_3MONTHS">"c1825"</definedName>
    <definedName name="IQ_PERCENT_CHANGE_EST_FFO_3MONTHS_REUT">"c3935"</definedName>
    <definedName name="IQ_PERCENT_CHANGE_EST_FFO_6MONTHS">"c1826"</definedName>
    <definedName name="IQ_PERCENT_CHANGE_EST_FFO_6MONTHS_REUT">"c3936"</definedName>
    <definedName name="IQ_PERCENT_CHANGE_EST_FFO_9MONTHS">"c1827"</definedName>
    <definedName name="IQ_PERCENT_CHANGE_EST_FFO_9MONTHS_REUT">"c3937"</definedName>
    <definedName name="IQ_PERCENT_CHANGE_EST_FFO_DAY">"c1822"</definedName>
    <definedName name="IQ_PERCENT_CHANGE_EST_FFO_DAY_REUT">"c3933"</definedName>
    <definedName name="IQ_PERCENT_CHANGE_EST_FFO_MONTH">"c1824"</definedName>
    <definedName name="IQ_PERCENT_CHANGE_EST_FFO_MONTH_REUT">"c3934"</definedName>
    <definedName name="IQ_PERCENT_CHANGE_EST_FFO_WEEK">"c1823"</definedName>
    <definedName name="IQ_PERCENT_CHANGE_EST_FFO_WEEK_REUT">"c3964"</definedName>
    <definedName name="IQ_PERCENT_INSURED_FDIC">"c6374"</definedName>
    <definedName name="IQ_PERIODDATE_FDIC">"c13646"</definedName>
    <definedName name="IQ_PLEDGED_SECURITIES_FDIC">"c6401"</definedName>
    <definedName name="IQ_PRE_TAX_INCOME_FDIC">"c6581"</definedName>
    <definedName name="IQ_PREF_ISSUED_BR">"c1047"</definedName>
    <definedName name="IQ_PREF_OTHER_BR">"c1055"</definedName>
    <definedName name="IQ_PREF_REP_BR">"c1062"</definedName>
    <definedName name="IQ_PREFERRED_FDIC">"c6349"</definedName>
    <definedName name="IQ_PREMISES_EQUIPMENT_FDIC">"c6577"</definedName>
    <definedName name="IQ_PRETAX_INC">"IQ_PRETAX_INC"</definedName>
    <definedName name="IQ_PRETAX_INC_10K">"IQ_PRETAX_INC_10K"</definedName>
    <definedName name="IQ_PRETAX_INC_10Q">"IQ_PRETAX_INC_10Q"</definedName>
    <definedName name="IQ_PRETAX_INC_10Q1">"IQ_PRETAX_INC_10Q1"</definedName>
    <definedName name="IQ_PRETAX_RETURN_ASSETS_FDIC">"c6731"</definedName>
    <definedName name="IQ_PRICE_OVER_EPS_EST">"IQ_PRICE_OVER_EPS_EST"</definedName>
    <definedName name="IQ_PRICE_OVER_EPS_EST_1">"IQ_PRICE_OVER_EPS_EST_1"</definedName>
    <definedName name="IQ_PRICE_TARGET_REUT">"c3631"</definedName>
    <definedName name="IQ_PRICEDATETIME">"IQ_PRICEDATETIME"</definedName>
    <definedName name="IQ_PRIMARY_EPS_TYPE_THOM">"c5297"</definedName>
    <definedName name="IQ_PRIVATE_CONST_TOTAL_APR_FC_UNUSED_UNUSED_UNUSED">"c8559"</definedName>
    <definedName name="IQ_PRIVATE_CONST_TOTAL_APR_UNUSED_UNUSED_UNUSED">"c7679"</definedName>
    <definedName name="IQ_PRIVATE_CONST_TOTAL_FC_UNUSED_UNUSED_UNUSED">"c7899"</definedName>
    <definedName name="IQ_PRIVATE_CONST_TOTAL_POP_FC_UNUSED_UNUSED_UNUSED">"c8119"</definedName>
    <definedName name="IQ_PRIVATE_CONST_TOTAL_POP_UNUSED_UNUSED_UNUSED">"c7239"</definedName>
    <definedName name="IQ_PRIVATE_CONST_TOTAL_UNUSED_UNUSED_UNUSED">"c7019"</definedName>
    <definedName name="IQ_PRIVATE_CONST_TOTAL_YOY_FC_UNUSED_UNUSED_UNUSED">"c8339"</definedName>
    <definedName name="IQ_PRIVATE_CONST_TOTAL_YOY_UNUSED_UNUSED_UNUSED">"c7459"</definedName>
    <definedName name="IQ_PRIVATE_RES_CONST_REAL_APR_FC_UNUSED_UNUSED_UNUSED">"c8535"</definedName>
    <definedName name="IQ_PRIVATE_RES_CONST_REAL_APR_UNUSED_UNUSED_UNUSED">"c7655"</definedName>
    <definedName name="IQ_PRIVATE_RES_CONST_REAL_FC_UNUSED_UNUSED_UNUSED">"c7875"</definedName>
    <definedName name="IQ_PRIVATE_RES_CONST_REAL_POP_FC_UNUSED_UNUSED_UNUSED">"c8095"</definedName>
    <definedName name="IQ_PRIVATE_RES_CONST_REAL_POP_UNUSED_UNUSED_UNUSED">"c7215"</definedName>
    <definedName name="IQ_PRIVATE_RES_CONST_REAL_UNUSED_UNUSED_UNUSED">"c6995"</definedName>
    <definedName name="IQ_PRIVATE_RES_CONST_REAL_YOY_FC_UNUSED_UNUSED_UNUSED">"c8315"</definedName>
    <definedName name="IQ_PRIVATE_RES_CONST_REAL_YOY_UNUSED_UNUSED_UNUSED">"c7435"</definedName>
    <definedName name="IQ_PRIVATELY_ISSUED_MORTGAGE_BACKED_SECURITIES_FDIC">"c6407"</definedName>
    <definedName name="IQ_PRIVATELY_ISSUED_MORTGAGE_PASS_THROUGHS_FDIC">"c6405"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S_EQUIP_NONRES_SAAR_APR_FC_UNUSED_UNUSED_UNUSED">"c8491"</definedName>
    <definedName name="IQ_PURCHASES_EQUIP_NONRES_SAAR_APR_UNUSED_UNUSED_UNUSED">"c7611"</definedName>
    <definedName name="IQ_PURCHASES_EQUIP_NONRES_SAAR_FC_UNUSED_UNUSED_UNUSED">"c7831"</definedName>
    <definedName name="IQ_PURCHASES_EQUIP_NONRES_SAAR_POP_FC_UNUSED_UNUSED_UNUSED">"c8051"</definedName>
    <definedName name="IQ_PURCHASES_EQUIP_NONRES_SAAR_POP_UNUSED_UNUSED_UNUSED">"c7171"</definedName>
    <definedName name="IQ_PURCHASES_EQUIP_NONRES_SAAR_UNUSED_UNUSED_UNUSED">"c6951"</definedName>
    <definedName name="IQ_PURCHASES_EQUIP_NONRES_SAAR_YOY_FC_UNUSED_UNUSED_UNUSED">"c8271"</definedName>
    <definedName name="IQ_PURCHASES_EQUIP_NONRES_SAAR_YOY_UNUSED_UNUSED_UNUSED">"c7391"</definedName>
    <definedName name="IQ_QTD">750000</definedName>
    <definedName name="IQ_RE_FORECLOSURE_FDIC">"c6332"</definedName>
    <definedName name="IQ_RE_INVEST_FDIC">"c6331"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LATED_PLANS_FDIC">"c6320"</definedName>
    <definedName name="IQ_RES_CONST_REAL_APR_FC_UNUSED_UNUSED_UNUSED">"c8536"</definedName>
    <definedName name="IQ_RES_CONST_REAL_APR_UNUSED_UNUSED_UNUSED">"c7656"</definedName>
    <definedName name="IQ_RES_CONST_REAL_FC_UNUSED_UNUSED_UNUSED">"c7876"</definedName>
    <definedName name="IQ_RES_CONST_REAL_POP_FC_UNUSED_UNUSED_UNUSED">"c8096"</definedName>
    <definedName name="IQ_RES_CONST_REAL_POP_UNUSED_UNUSED_UNUSED">"c7216"</definedName>
    <definedName name="IQ_RES_CONST_REAL_SAAR_APR_FC_UNUSED_UNUSED_UNUSED">"c8537"</definedName>
    <definedName name="IQ_RES_CONST_REAL_SAAR_APR_UNUSED_UNUSED_UNUSED">"c7657"</definedName>
    <definedName name="IQ_RES_CONST_REAL_SAAR_FC_UNUSED_UNUSED_UNUSED">"c7877"</definedName>
    <definedName name="IQ_RES_CONST_REAL_SAAR_POP_FC_UNUSED_UNUSED_UNUSED">"c8097"</definedName>
    <definedName name="IQ_RES_CONST_REAL_SAAR_POP_UNUSED_UNUSED_UNUSED">"c7217"</definedName>
    <definedName name="IQ_RES_CONST_REAL_SAAR_UNUSED_UNUSED_UNUSED">"c6997"</definedName>
    <definedName name="IQ_RES_CONST_REAL_SAAR_YOY_FC_UNUSED_UNUSED_UNUSED">"c8317"</definedName>
    <definedName name="IQ_RES_CONST_REAL_SAAR_YOY_UNUSED_UNUSED_UNUSED">"c7437"</definedName>
    <definedName name="IQ_RES_CONST_REAL_UNUSED_UNUSED_UNUSED">"c6996"</definedName>
    <definedName name="IQ_RES_CONST_REAL_YOY_FC_UNUSED_UNUSED_UNUSED">"c8316"</definedName>
    <definedName name="IQ_RES_CONST_REAL_YOY_UNUSED_UNUSED_UNUSED">"c7436"</definedName>
    <definedName name="IQ_RES_CONST_SAAR_APR_FC_UNUSED_UNUSED_UNUSED">"c8540"</definedName>
    <definedName name="IQ_RES_CONST_SAAR_APR_UNUSED_UNUSED_UNUSED">"c7660"</definedName>
    <definedName name="IQ_RES_CONST_SAAR_FC_UNUSED_UNUSED_UNUSED">"c7880"</definedName>
    <definedName name="IQ_RES_CONST_SAAR_POP_FC_UNUSED_UNUSED_UNUSED">"c8100"</definedName>
    <definedName name="IQ_RES_CONST_SAAR_POP_UNUSED_UNUSED_UNUSED">"c7220"</definedName>
    <definedName name="IQ_RES_CONST_SAAR_UNUSED_UNUSED_UNUSED">"c7000"</definedName>
    <definedName name="IQ_RES_CONST_SAAR_YOY_FC_UNUSED_UNUSED_UNUSED">"c8320"</definedName>
    <definedName name="IQ_RES_CONST_SAAR_YOY_UNUSED_UNUSED_UNUSED">"c7440"</definedName>
    <definedName name="IQ_RESIDENTIAL_LOANS">"c1102"</definedName>
    <definedName name="IQ_RESTATEMENTS_NET_FDIC">"c6500"</definedName>
    <definedName name="IQ_RESTRUCTURE_BR">"c1106"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DEPOSITS_FDIC">"c6488"</definedName>
    <definedName name="IQ_RETAINED_EARNINGS_AVERAGE_EQUITY_FDIC">"c6733"</definedName>
    <definedName name="IQ_RETURN_ASSETS_BROK">"c1115"</definedName>
    <definedName name="IQ_RETURN_ASSETS_FDIC">"c6730"</definedName>
    <definedName name="IQ_RETURN_EQUITY_BROK">"c1120"</definedName>
    <definedName name="IQ_RETURN_EQUITY_FDIC">"c6732"</definedName>
    <definedName name="IQ_REV_STDDEV_EST_REUT">"c3639"</definedName>
    <definedName name="IQ_REVALUATION_GAINS_FDIC">"c6428"</definedName>
    <definedName name="IQ_REVALUATION_LOSSES_FDIC">"c6429"</definedName>
    <definedName name="IQ_REVENUE_10K">"IQ_REVENUE_10K"</definedName>
    <definedName name="IQ_REVENUE_10Q">"IQ_REVENUE_10Q"</definedName>
    <definedName name="IQ_REVENUE_10Q1">"IQ_REVENUE_10Q1"</definedName>
    <definedName name="IQ_REVENUE_EST_1">"IQ_REVENUE_EST_1"</definedName>
    <definedName name="IQ_REVENUE_EST_REUT">"c3634"</definedName>
    <definedName name="IQ_REVENUE_GROWTH_1">"IQ_REVENUE_GROWTH_1"</definedName>
    <definedName name="IQ_REVENUE_GROWTH_2">"IQ_REVENUE_GROWTH_2"</definedName>
    <definedName name="IQ_REVENUE_HIGH_EST_REUT">"c3636"</definedName>
    <definedName name="IQ_REVENUE_LOW_EST_REUT">"c3637"</definedName>
    <definedName name="IQ_REVENUE_MEDIAN_EST_REUT">"c3635"</definedName>
    <definedName name="IQ_REVENUE_NO_EST">"c263"</definedName>
    <definedName name="IQ_REVENUE_NUM_EST_REUT">"c3638"</definedName>
    <definedName name="IQ_RISK_WEIGHTED_ASSETS_FDIC">"c6370"</definedName>
    <definedName name="IQ_ROYALTY_REVENUE_COAL">"c15932"</definedName>
    <definedName name="IQ_SALARY_FDIC">"c6576"</definedName>
    <definedName name="IQ_SALE_CONVERSION_RETIREMENT_STOCK_FDIC">"c6661"</definedName>
    <definedName name="IQ_SALE_INTAN_CF_BR">"c1133"</definedName>
    <definedName name="IQ_SALE_PPE_CF_BR">"c1139"</definedName>
    <definedName name="IQ_SALE_REAL_ESTATE_CF_BR">"c1145"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UNDERWRITING_FDIC">"c6529"</definedName>
    <definedName name="IQ_SERVICE_CHARGES_FDIC">"c6572"</definedName>
    <definedName name="IQ_SHAREOUTSTANDING">"c1347"</definedName>
    <definedName name="IQ_SPECIAL_DIV_CF_BR">"c1171"</definedName>
    <definedName name="IQ_ST_DEBT_BR">"c1178"</definedName>
    <definedName name="IQ_ST_DEBT_ISSUED_BR">"c1183"</definedName>
    <definedName name="IQ_ST_DEBT_REPAID_BR">"c1191"</definedName>
    <definedName name="IQ_STATES_NONTRANSACTION_ACCOUNTS_FDIC">"c6547"</definedName>
    <definedName name="IQ_STATES_TOTAL_DEPOSITS_FDIC">"c6473"</definedName>
    <definedName name="IQ_STATES_TRANSACTION_ACCOUNTS_FDIC">"c6539"</definedName>
    <definedName name="IQ_SUB_DEBT_FDIC">"c6346"</definedName>
    <definedName name="IQ_SURPLUS_FDIC">"c6351"</definedName>
    <definedName name="IQ_TARGET_PRICE_LASTCLOSE">"c1855"</definedName>
    <definedName name="IQ_TARGET_PRICE_NUM_REUT">"c5319"</definedName>
    <definedName name="IQ_TARGET_PRICE_STDDEV_REUT">"c5320"</definedName>
    <definedName name="IQ_TEV_EBITDA_FWD_REUT">"c4050"</definedName>
    <definedName name="IQ_TEV_TOTAL_REV_FWD_REUT">"c4051"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FDIC">"c6369"</definedName>
    <definedName name="IQ_TIME_DEPOSITS_LESS_THAN_100K_FDIC">"c6465"</definedName>
    <definedName name="IQ_TIME_DEPOSITS_MORE_THAN_100K_FDIC">"c6470"</definedName>
    <definedName name="IQ_TODAY">0</definedName>
    <definedName name="IQ_TOTAL_AR_BR">"c1231"</definedName>
    <definedName name="IQ_TOTAL_ASSETS_FDIC">"c6339"</definedName>
    <definedName name="IQ_TOTAL_CHARGE_OFFS_FDIC">"c6603"</definedName>
    <definedName name="IQ_TOTAL_DEBT_ISSUED_BR">"c1253"</definedName>
    <definedName name="IQ_TOTAL_DEBT_REPAID_BR">"c1260"</definedName>
    <definedName name="IQ_TOTAL_DEBT_SECURITIES_FDIC">"c6410"</definedName>
    <definedName name="IQ_TOTAL_DEPOSITS_FDIC">"c6342"</definedName>
    <definedName name="IQ_TOTAL_EMPLOYEES_FDIC">"c6355"</definedName>
    <definedName name="IQ_TOTAL_LIAB_BR">"c1278"</definedName>
    <definedName name="IQ_TOTAL_LIAB_EQUITY_FDIC">"c6354"</definedName>
    <definedName name="IQ_TOTAL_LIABILITIES_FDIC">"c6348"</definedName>
    <definedName name="IQ_TOTAL_OPER_EXP_BR">"c1284"</definedName>
    <definedName name="IQ_TOTAL_PENSION_OBLIGATION">"c1292"</definedName>
    <definedName name="IQ_TOTAL_RECOVERIES_FDIC">"c6622"</definedName>
    <definedName name="IQ_TOTAL_REV_BNK_FDIC">"c6786"</definedName>
    <definedName name="IQ_TOTAL_REV_BR">"c1303"</definedName>
    <definedName name="IQ_TOTAL_RISK_BASED_CAPITAL_RATIO_FDIC">"c6747"</definedName>
    <definedName name="IQ_TOTAL_SECURITIES_FDIC">"c6306"</definedName>
    <definedName name="IQ_TOTAL_TIME_DEPOSITS_FDIC">"c6497"</definedName>
    <definedName name="IQ_TOTAL_TIME_SAVINGS_DEPOSITS_FDIC">"c6498"</definedName>
    <definedName name="IQ_TOTAL_UNUSED_COMMITMENTS_FDIC">"c6536"</definedName>
    <definedName name="IQ_TOTAL_UNUSUAL_BR">"c5517"</definedName>
    <definedName name="IQ_TRADING_ACCOUNT_GAINS_FEES_FDIC">"c6573"</definedName>
    <definedName name="IQ_TRADING_ASSETS_FDIC">"c6328"</definedName>
    <definedName name="IQ_TRADING_LIABILITIES_FDIC">"c6344"</definedName>
    <definedName name="IQ_TRANSACTION_ACCOUNTS_FDIC">"c6544"</definedName>
    <definedName name="IQ_TREASURY_OTHER_EQUITY_BR">"c1314"</definedName>
    <definedName name="IQ_TREASURY_STOCK_TRANSACTIONS_FDIC">"c6501"</definedName>
    <definedName name="IQ_TWELVE_MONTHS_FIXED_AND_FLOATING_FDIC">"c6420"</definedName>
    <definedName name="IQ_TWELVE_MONTHS_MORTGAGE_PASS_THROUGHS_FDIC">"c6412"</definedName>
    <definedName name="IQ_UNDIVIDED_PROFITS_FDIC">"c6352"</definedName>
    <definedName name="IQ_UNEARN_REV_CURRENT_BR">"c1324"</definedName>
    <definedName name="IQ_UNEARNED_INCOME_FDIC">"c6324"</definedName>
    <definedName name="IQ_UNEARNED_INCOME_FOREIGN_FDIC">"c6385"</definedName>
    <definedName name="IQ_UNPROFITABLE_INSTITUTIONS_FDIC">"c6722"</definedName>
    <definedName name="IQ_UNUSED_LOAN_COMMITMENTS_FDIC">"c6368"</definedName>
    <definedName name="IQ_US_BRANCHES_FOREIGN_BANK_LOANS_FDIC">"c6435"</definedName>
    <definedName name="IQ_US_BRANCHES_FOREIGN_BANKS_FDIC">"c6390"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TREASURY_SECURITIES_FDIC">"c6298"</definedName>
    <definedName name="IQ_VALUATION_ALLOWANCES_FDIC">"c6400"</definedName>
    <definedName name="IQ_VC_REVENUE_FDIC">"c6667"</definedName>
    <definedName name="IQ_VOLATILE_LIABILITIES_FDIC">"c6364"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YTDMONTH">130000</definedName>
    <definedName name="IQB_BOOKMARK_COUNT">0</definedName>
    <definedName name="IQCAPINT">"c3460"</definedName>
    <definedName name="IQRA3">"$A$4:$A$248"</definedName>
    <definedName name="IQRAA61">"$AA$62:$AA$74"</definedName>
    <definedName name="IQRAB61">"$AB$62:$AB$92"</definedName>
    <definedName name="IQRAC61">"$AC$62:$AC$77"</definedName>
    <definedName name="IQRAD61">"$AD$62:$AD$77"</definedName>
    <definedName name="IQRAE61">"$AE$62"</definedName>
    <definedName name="IQRAF61">"$AF$62"</definedName>
    <definedName name="IQRAG61">"$AG$62"</definedName>
    <definedName name="IQRAH61">"$AH$62"</definedName>
    <definedName name="IQRAI61">"$AI$62"</definedName>
    <definedName name="IQRAJ61">"$AJ$62:$AJ$79"</definedName>
    <definedName name="IQRC12">"$C$13:$C$17"</definedName>
    <definedName name="IQRC37">"$C$38:$C$43"</definedName>
    <definedName name="IQRC46">"$C$47:$C$54"</definedName>
    <definedName name="IQRC6">"$C$7:$C$11"</definedName>
    <definedName name="IQRC60">"$C$61:$C$68"</definedName>
    <definedName name="IQRC61">"$C$62:$C$66"</definedName>
    <definedName name="IQRCompaniesH12">[43]Companies!$I$12:$M$12</definedName>
    <definedName name="IQRCompaniesH13">[43]Companies!$I$13:$M$13</definedName>
    <definedName name="IQRCompaniesH14">[43]Companies!$I$14:$M$14</definedName>
    <definedName name="IQRCompaniesH15">[43]Companies!$I$15:$M$15</definedName>
    <definedName name="IQRCompaniesH16">[43]Companies!$I$16:$M$16</definedName>
    <definedName name="IQRCompaniesH17">[43]Companies!$I$17:$M$17</definedName>
    <definedName name="IQRCompaniesH18">[43]Companies!$I$18:$M$18</definedName>
    <definedName name="IQRCompaniesH19">[43]Companies!$I$19:$M$19</definedName>
    <definedName name="IQRCompaniesN12">[43]Companies!$O$12:$S$12</definedName>
    <definedName name="IQRCompaniesN13">[43]Companies!$O$13:$S$13</definedName>
    <definedName name="IQRCompaniesN14">[43]Companies!$O$14:$S$14</definedName>
    <definedName name="IQRCompaniesN15">[43]Companies!$O$15:$S$15</definedName>
    <definedName name="IQRCompaniesN16">[43]Companies!$O$16:$S$16</definedName>
    <definedName name="IQRCompaniesN17">[43]Companies!$O$17:$S$17</definedName>
    <definedName name="IQRCompaniesN18">[43]Companies!$O$18:$S$18</definedName>
    <definedName name="IQRCompaniesN19">[43]Companies!$O$19:$S$19</definedName>
    <definedName name="IQRD6">"$D$7:$D$11"</definedName>
    <definedName name="IQRD60">"$D$61:$D$74"</definedName>
    <definedName name="IQRD61">"$D$62:$D$85"</definedName>
    <definedName name="IQRE60">"$E$61:$E$72"</definedName>
    <definedName name="IQRE61">"$E$62:$E$78"</definedName>
    <definedName name="IQRF60">"$F$61:$F$90"</definedName>
    <definedName name="IQRF61">"$F$62:$F$71"</definedName>
    <definedName name="IQRG12">"$H$12:$L$12"</definedName>
    <definedName name="IQRG60">"$G$61:$G$68"</definedName>
    <definedName name="IQRG61">"$G$62:$G$72"</definedName>
    <definedName name="IQRH12">"$I$12:$M$12"</definedName>
    <definedName name="IQRH13">"$I$13:$M$13"</definedName>
    <definedName name="IQRH14">"$I$14"</definedName>
    <definedName name="IQRH15">"$I$15:$M$15"</definedName>
    <definedName name="IQRH16">"$I$16:$M$16"</definedName>
    <definedName name="IQRH17">"$I$17:$M$17"</definedName>
    <definedName name="IQRH18">"$I$18:$M$18"</definedName>
    <definedName name="IQRH19">"$I$19:$M$19"</definedName>
    <definedName name="IQRH20">"$I$20:$M$20"</definedName>
    <definedName name="IQRH21">"$I$21"</definedName>
    <definedName name="IQRH22">"$I$22"</definedName>
    <definedName name="IQRH23">"$I$23"</definedName>
    <definedName name="IQRH24">"$I$24"</definedName>
    <definedName name="IQRH25">"$I$25"</definedName>
    <definedName name="IQRH26">"$I$26"</definedName>
    <definedName name="IQRH27">"$I$27"</definedName>
    <definedName name="IQRH28">"$I$28"</definedName>
    <definedName name="IQRH60">"$H$61:$H$76"</definedName>
    <definedName name="IQRH61">"$H$62:$H$65"</definedName>
    <definedName name="IQRI60">"$I$61:$I$110"</definedName>
    <definedName name="IQRI61">"$I$62:$I$73"</definedName>
    <definedName name="IQRJ60">"$J$61:$J$105"</definedName>
    <definedName name="IQRJ61">"$J$62:$J$63"</definedName>
    <definedName name="IQRK60">"$K$61:$K$110"</definedName>
    <definedName name="IQRK61">"$K$62:$K$76"</definedName>
    <definedName name="IQRL60">"$L$61:$L$70"</definedName>
    <definedName name="IQRL61">"$L$62:$L$63"</definedName>
    <definedName name="IQRM12">"$N$12:$R$12"</definedName>
    <definedName name="IQRM60">"$M$61:$M$65"</definedName>
    <definedName name="IQRM61">"$M$62:$M$67"</definedName>
    <definedName name="IQRN12">"$O$12:$S$12"</definedName>
    <definedName name="IQRN13">"$O$13:$S$13"</definedName>
    <definedName name="IQRN14">"$O$14"</definedName>
    <definedName name="IQRN15">"$O$15:$S$15"</definedName>
    <definedName name="IQRN16">"$O$16:$S$16"</definedName>
    <definedName name="IQRN17">"$O$17:$S$17"</definedName>
    <definedName name="IQRN18">"$O$18:$S$18"</definedName>
    <definedName name="IQRN19">"$O$19:$S$19"</definedName>
    <definedName name="IQRN20">"$O$20:$S$20"</definedName>
    <definedName name="IQRN21">"$O$21"</definedName>
    <definedName name="IQRN22">"$O$22"</definedName>
    <definedName name="IQRN23">"$O$23"</definedName>
    <definedName name="IQRN24">"$O$24"</definedName>
    <definedName name="IQRN25">"$O$25"</definedName>
    <definedName name="IQRN26">"$O$26"</definedName>
    <definedName name="IQRN27">"$O$27"</definedName>
    <definedName name="IQRN28">"$O$28"</definedName>
    <definedName name="IQRN60">"$N$61:$N$63"</definedName>
    <definedName name="IQRN61">"$N$62:$N$66"</definedName>
    <definedName name="IQRO60">"$O$61:$O$71"</definedName>
    <definedName name="IQRO61">"$O$62:$O$109"</definedName>
    <definedName name="IQRP60">"$P$61:$P$67"</definedName>
    <definedName name="IQRP61">"$P$62:$P$96"</definedName>
    <definedName name="IQRPeerGroupMAAA61">'[44]PeerGroupM&amp;A'!$AA$62:$AA$76</definedName>
    <definedName name="IQRPeerGroupMAAB61">'[44]PeerGroupM&amp;A'!$AB$62:$AB$79</definedName>
    <definedName name="IQRPeerGroupMAAC61">'[44]PeerGroupM&amp;A'!$AC$62:$AC$111</definedName>
    <definedName name="IQRPeerGroupMAAD61">'[44]PeerGroupM&amp;A'!$AD$62:$AD$108</definedName>
    <definedName name="IQRPeerGroupMAAE61">'[44]PeerGroupM&amp;A'!$AE$62:$AE$74</definedName>
    <definedName name="IQRPeerGroupMAAF61">'[44]PeerGroupM&amp;A'!$AF$62:$AF$70</definedName>
    <definedName name="IQRPeerGroupMAAG61">'[44]PeerGroupM&amp;A'!$AG$62:$AG$70</definedName>
    <definedName name="IQRPeerGroupMAAH61">'[44]PeerGroupM&amp;A'!$AH$62:$AH$68</definedName>
    <definedName name="IQRPeerGroupMAAI61">'[44]PeerGroupM&amp;A'!$AI$62:$AI$74</definedName>
    <definedName name="IQRPeerGroupMAAJ61">'[44]PeerGroupM&amp;A'!$AJ$62:$AJ$79</definedName>
    <definedName name="IQRPeerGroupMAC61">'[44]PeerGroupM&amp;A'!$C$62:$C$111</definedName>
    <definedName name="IQRPeerGroupMAD61">'[44]PeerGroupM&amp;A'!$D$62:$D$109</definedName>
    <definedName name="IQRPeerGroupMAE61">'[44]PeerGroupM&amp;A'!$E$62:$E$109</definedName>
    <definedName name="IQRPeerGroupMAF61">'[44]PeerGroupM&amp;A'!$F$62:$F$64</definedName>
    <definedName name="IQRPeerGroupMAG61">'[44]PeerGroupM&amp;A'!$G$62:$G$78</definedName>
    <definedName name="IQRPeerGroupMAH61">'[44]PeerGroupM&amp;A'!$H$62:$H$111</definedName>
    <definedName name="IQRPeerGroupMAI61">'[44]PeerGroupM&amp;A'!$I$62:$I$111</definedName>
    <definedName name="IQRPeerGroupMAJ61">'[44]PeerGroupM&amp;A'!$J$62:$J$111</definedName>
    <definedName name="IQRPeerGroupMAK61">'[44]PeerGroupM&amp;A'!$K$62:$K$75</definedName>
    <definedName name="IQRPeerGroupMAL61">'[44]PeerGroupM&amp;A'!$L$62:$L$64</definedName>
    <definedName name="IQRPeerGroupMAM61">'[44]PeerGroupM&amp;A'!$M$62:$M$64</definedName>
    <definedName name="IQRPeerGroupMAN61">'[44]PeerGroupM&amp;A'!$N$62:$N$74</definedName>
    <definedName name="IQRPeerGroupMAO61">'[44]PeerGroupM&amp;A'!$O$62:$O$81</definedName>
    <definedName name="IQRPeerGroupMAQ61">'[44]PeerGroupM&amp;A'!$Q$62:$Q$82</definedName>
    <definedName name="IQRPeerGroupMAS61">'[44]PeerGroupM&amp;A'!$S$62:$S$63</definedName>
    <definedName name="IQRPeerGroupMAT61">'[44]PeerGroupM&amp;A'!$T$62:$T$63</definedName>
    <definedName name="IQRPeerGroupMAV61">'[44]PeerGroupM&amp;A'!$V$62:$V$98</definedName>
    <definedName name="IQRPeerGroupMAW61">'[44]PeerGroupM&amp;A'!$W$62:$W$90</definedName>
    <definedName name="IQRPeerGroupMAY61">'[44]PeerGroupM&amp;A'!$Y$62:$Y$81</definedName>
    <definedName name="IQRPeerGroupMAZ61">'[44]PeerGroupM&amp;A'!$Z$62:$Z$78</definedName>
    <definedName name="IQRPeopleH12">[43]People!$I$12:$L$12</definedName>
    <definedName name="IQRPeopleH13">[43]People!$I$13:$M$13</definedName>
    <definedName name="IQRPeopleH14">[43]People!$I$14:$L$14</definedName>
    <definedName name="IQRPeopleH15">[43]People!$I$15:$K$15</definedName>
    <definedName name="IQRPeopleN12">[43]People!$O$12:$R$12</definedName>
    <definedName name="IQRPeopleN13">[43]People!$O$13:$S$13</definedName>
    <definedName name="IQRPeopleN14">[43]People!$O$14:$R$14</definedName>
    <definedName name="IQRPeopleN15">[43]People!$O$15:$Q$15</definedName>
    <definedName name="IQRQ60">"$Q$61:$Q$90"</definedName>
    <definedName name="IQRQ61">"$Q$62:$Q$111"</definedName>
    <definedName name="IQRR60">"$R$61:$R$74"</definedName>
    <definedName name="IQRR61">"$R$62:$R$96"</definedName>
    <definedName name="IQRS60">"$S$61:$S$63"</definedName>
    <definedName name="IQRS61">"$S$62:$S$105"</definedName>
    <definedName name="IQRT60">"$T$61:$T$66"</definedName>
    <definedName name="IQRT61">"$T$62:$T$109"</definedName>
    <definedName name="IQRU60">"$U$61:$U$67"</definedName>
    <definedName name="IQRU61">"$U$62:$U$76"</definedName>
    <definedName name="IQRV60">"$V$61:$V$73"</definedName>
    <definedName name="IQRV61">"$V$62:$V$92"</definedName>
    <definedName name="IQRW60">"$W$61:$W$101"</definedName>
    <definedName name="IQRW61">"$W$62:$W$92"</definedName>
    <definedName name="IQRX60">"$X$61:$X$62"</definedName>
    <definedName name="IQRX61">"$X$62:$X$104"</definedName>
    <definedName name="IQRY60">"$Y$61"</definedName>
    <definedName name="IQRY61">"$Y$62:$Y$69"</definedName>
    <definedName name="IQRZ60">"$Z$61"</definedName>
    <definedName name="IQRZ61">"$Z$62:$Z$75"</definedName>
    <definedName name="iQShowHideColumns">"iQShowQuarterlyAnnual"</definedName>
    <definedName name="irkr">{"Units A",#N/A,FALSE,"FY95SLS";"Units B",#N/A,FALSE,"FY95SLS"}</definedName>
    <definedName name="IsColHidden">FALSE</definedName>
    <definedName name="IsLTMColHidden">FALSE</definedName>
    <definedName name="iultuio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iyuidt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j">{"Final",#N/A,FALSE,"Feb-96"}</definedName>
    <definedName name="ja">{"ProjectInput",#N/A,FALSE,"INPUT-AREA"}</definedName>
    <definedName name="ja_1">{"ProjectInput",#N/A,FALSE,"INPUT-AREA"}</definedName>
    <definedName name="ja_2">{"ProjectInput",#N/A,FALSE,"INPUT-AREA"}</definedName>
    <definedName name="ja_3">{"ProjectInput",#N/A,FALSE,"INPUT-AREA"}</definedName>
    <definedName name="ja_4">{"ProjectInput",#N/A,FALSE,"INPUT-AREA"}</definedName>
    <definedName name="ja_5">{"ProjectInput",#N/A,FALSE,"INPUT-AREA"}</definedName>
    <definedName name="jaime">{#N/A,#N/A,FALSE,"DCF Summary";#N/A,#N/A,FALSE,"Casema";#N/A,#N/A,FALSE,"Casema NoTel";#N/A,#N/A,FALSE,"UK";#N/A,#N/A,FALSE,"RCF";#N/A,#N/A,FALSE,"Intercable CZ";#N/A,#N/A,FALSE,"Interkabel P"}</definedName>
    <definedName name="jam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jdf">{#N/A,#N/A,FALSE,"Tar-Ass";#N/A,#N/A,FALSE,"Tar-IS";#N/A,#N/A,FALSE,"Tar-BS";#N/A,#N/A,FALSE,"Tar-Adg BS";#N/A,#N/A,FALSE,"Tar-CF"}</definedName>
    <definedName name="jdghjdyt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jen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fgjfgj">{"Units A",#N/A,FALSE,"FY95SLS";"Units B",#N/A,FALSE,"FY95SLS"}</definedName>
    <definedName name="jgf">{#N/A,#N/A,TRUE,"Pivots-Employee";#N/A,"Scenario1",TRUE,"Assumptions Summary"}</definedName>
    <definedName name="jgfhtr">{"Units A",#N/A,FALSE,"FY95SLS";"Units B",#N/A,FALSE,"FY95SLS"}</definedName>
    <definedName name="jgfj">{"histincome",#N/A,FALSE,"hyfins";"closing balance",#N/A,FALSE,"hyfins"}</definedName>
    <definedName name="jgfjgfj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jgh">{#N/A,#N/A,TRUE,"Val - sum";#N/A,#N/A,TRUE,"Val - Sum1";#N/A,#N/A,TRUE,"Val - sum2";#N/A,#N/A,TRUE,"Val - Sum3";#N/A,#N/A,TRUE,"Tar-DCF";#N/A,#N/A,TRUE,"Tar-Val LBO";#N/A,#N/A,TRUE,"Tar-Mult Val"}</definedName>
    <definedName name="jghjghjhg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jghjudtyu">{"Units A",#N/A,FALSE,"FY95SLS";"Units B",#N/A,FALSE,"FY95SLS"}</definedName>
    <definedName name="jgj">{"Pound Sterling",#N/A,TRUE,"PPD";"Pound Sterling",#N/A,TRUE,"Anaquest";"Pound Sterling",#N/A,TRUE,"Delta";"Pound Sterling",#N/A,TRUE,"INO"}</definedName>
    <definedName name="jhe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jhsfhj">{"Pound Sterling",#N/A,TRUE,"PPD";"Pound Sterling",#N/A,TRUE,"Anaquest";"Pound Sterling",#N/A,TRUE,"Delta";"Pound Sterling",#N/A,TRUE,"INO"}</definedName>
    <definedName name="jim">{"'Directory'!$A$72:$E$91"}</definedName>
    <definedName name="jimm">{"'Directory'!$A$72:$E$91"}</definedName>
    <definedName name="jj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jjf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localSheetId="0" name="JJJ">'[10]Herramientas para análisis-VBA'!#REF!</definedName>
    <definedName name="JJJ">'[10]Herramientas para análisis-VBA'!#REF!</definedName>
    <definedName name="jkfubw">{#N/A,#N/A,FALSE,"EOAF ";#N/A,#N/A,FALSE,"Balance";#N/A,#N/A,FALSE,"BalanceResumen";#N/A,#N/A,FALSE,"PyG";#N/A,#N/A,FALSE,"Analítica ac.";#N/A,#N/A,FALSE,"Analítica mes"}</definedName>
    <definedName name="jkjkljkljlk">{"Units A",#N/A,FALSE,"FY95SLS";"Units B",#N/A,FALSE,"FY95SLS"}</definedName>
    <definedName name="jkkjkljlkj">{"US Dollars",#N/A,TRUE,"PPD";"US Dollar",#N/A,TRUE,"Anaquest";"US Dollar",#N/A,TRUE,"Delta";"US Dollar",#N/A,TRUE,"INO"}</definedName>
    <definedName name="jkl">{"Pound Sterling",#N/A,TRUE,"PPD";"Pound Sterling",#N/A,TRUE,"Anaquest";"Pound Sterling",#N/A,TRUE,"Delta";"Pound Sterling",#N/A,TRUE,"INO"}</definedName>
    <definedName name="jklj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jkljklj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jkljlkj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jkllj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jkri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jl">{#N/A,#N/A,FALSE,"INPUTS";#N/A,#N/A,FALSE,"PROFORMA BSHEET";#N/A,#N/A,FALSE,"COMBINED";#N/A,#N/A,FALSE,"HIGH YIELD";#N/A,#N/A,FALSE,"COMB_GRAPHS"}</definedName>
    <definedName name="jlc">{#N/A,#N/A,FALSE,"J97plnfp"}</definedName>
    <definedName name="JLCC">{#N/A,#N/A,FALSE,"J97plnfp"}</definedName>
    <definedName name="jljlkj">{"Pound Sterling",#N/A,TRUE,"PPD";"Pound Sterling",#N/A,TRUE,"Anaquest";"Pound Sterling",#N/A,TRUE,"Delta";"Pound Sterling",#N/A,TRUE,"INO"}</definedName>
    <definedName name="jlkjkjl">{"Units A",#N/A,FALSE,"FY95SLS";"Units B",#N/A,FALSE,"FY95SLS"}</definedName>
    <definedName name="JNPRpublish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jr97pl">{#N/A,#N/A,FALSE,"J97plnfp"}</definedName>
    <definedName name="jtj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jtrhtrht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jtrhyt">{"US Dollars",#N/A,TRUE,"PPD";"US Dollar",#N/A,TRUE,"Anaquest";"US Dollar",#N/A,TRUE,"Delta";"US Dollar",#N/A,TRUE,"INO"}</definedName>
    <definedName name="jtrj">{#N/A,#N/A,TRUE,"Pivots-Employee";#N/A,"Scenerio2",TRUE,"Assumptions Summary"}</definedName>
    <definedName name="jtrjtrh">{"Pound Sterling",#N/A,TRUE,"PPD";"Pound Sterling",#N/A,TRUE,"Anaquest";"Pound Sterling",#N/A,TRUE,"Delta";"Pound Sterling",#N/A,TRUE,"INO"}</definedName>
    <definedName name="jtrjtw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jtryw">{"Pound Sterling",#N/A,TRUE,"PPD";"Pound Sterling",#N/A,TRUE,"Anaquest";"Pound Sterling",#N/A,TRUE,"Delta";"Pound Sterling",#N/A,TRUE,"INO"}</definedName>
    <definedName name="jtu">{"Pound Sterling",#N/A,TRUE,"PPD";"Pound Sterling",#N/A,TRUE,"Anaquest";"Pound Sterling",#N/A,TRUE,"Delta";"Pound Sterling",#N/A,TRUE,"INO"}</definedName>
    <definedName name="jtwhrtywe">{"Pound Sterling",#N/A,TRUE,"PPD";"Pound Sterling",#N/A,TRUE,"Anaquest";"Pound Sterling",#N/A,TRUE,"Delta";"Pound Sterling",#N/A,TRUE,"INO"}</definedName>
    <definedName name="jty">{"Agg Output",#N/A,FALSE,"Operational Drivers Output";"NW Output",#N/A,FALSE,"Operational Drivers Output";"South Output",#N/A,FALSE,"Operational Drivers Output";"Central Output",#N/A,FALSE,"Operational Drivers Output"}</definedName>
    <definedName name="jtyj">{"Draft",#N/A,FALSE,"Feb-96"}</definedName>
    <definedName name="jtyjk">{#N/A,#N/A,FALSE,"FY97";#N/A,#N/A,FALSE,"FY98";#N/A,#N/A,FALSE,"FY99";#N/A,#N/A,FALSE,"FY00";#N/A,#N/A,FALSE,"FY01"}</definedName>
    <definedName name="jtyjtjutr">{"Units A",#N/A,FALSE,"FY95SLS";"Units B",#N/A,FALSE,"FY95SLS"}</definedName>
    <definedName name="jtyjue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jtyjwryj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Juan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jufn">{"stepel",#N/A,FALSE,"AHFSTEP"}</definedName>
    <definedName name="jwrtjrj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jwtywy">{"Pound Sterling",#N/A,TRUE,"PPD";"Pound Sterling",#N/A,TRUE,"Anaquest";"Pound Sterling",#N/A,TRUE,"Delta";"Pound Sterling",#N/A,TRUE,"INO"}</definedName>
    <definedName name="jwyjwj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jythjftddfgsd">{"'Sheet1'!$A$1:$O$40"}</definedName>
    <definedName name="jytjktyji">{"Pound Sterling",#N/A,TRUE,"PPD";"Pound Sterling",#N/A,TRUE,"Anaquest";"Pound Sterling",#N/A,TRUE,"Delta";"Pound Sterling",#N/A,TRUE,"INO"}</definedName>
    <definedName name="jytrj">{"Pound Sterling",#N/A,TRUE,"PPD";"Pound Sterling",#N/A,TRUE,"Anaquest";"Pound Sterling",#N/A,TRUE,"Delta";"Pound Sterling",#N/A,TRUE,"INO"}</definedName>
    <definedName name="jywryjrt">{"Units A",#N/A,FALSE,"FY95SLS";"Units B",#N/A,FALSE,"FY95SLS"}</definedName>
    <definedName name="k">{"Units A",#N/A,FALSE,"FY95SLS";"Units B",#N/A,FALSE,"FY95SLS"}</definedName>
    <definedName name="Key">{#N/A,#N/A,TRUE,"97plnfpg"}</definedName>
    <definedName name="kgjlhjmkjmgf">{"histincome",#N/A,FALSE,"hyfins";"closing balance",#N/A,FALSE,"hyfins"}</definedName>
    <definedName name="ki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j">{#N/A,#N/A,FALSE,"Admin";#N/A,#N/A,FALSE,"Other"}</definedName>
    <definedName name="kjk">{"Units A",#N/A,FALSE,"FY95SLS";"Units B",#N/A,FALSE,"FY95SLS"}</definedName>
    <definedName name="kjkljl">{"Pound Sterling",#N/A,TRUE,"PPD";"Pound Sterling",#N/A,TRUE,"Anaquest";"Pound Sterling",#N/A,TRUE,"Delta";"Pound Sterling",#N/A,TRUE,"INO"}</definedName>
    <definedName name="kjnlk">{#N/A,#N/A,FALSE,"Resumen Saldos";#N/A,#N/A,FALSE,"COMPARATIVO 98-99 (3)";#N/A,#N/A,FALSE,"GASTOS A DIST.";#N/A,#N/A,FALSE,"Graficos - Ventas";#N/A,#N/A,FALSE,"Graficos - Ventas (2)";#N/A,#N/A,FALSE,"Graficos - Clientes";#N/A,#N/A,FALSE,"politicas de amortizacion.";#N/A,#N/A,FALSE,"Inmovilizado";#N/A,#N/A,FALSE,"Inmov.Inmat";#N/A,#N/A,FALSE,"Inm. Financiero";#N/A,#N/A,FALSE,"A.A. Públicas";#N/A,#N/A,FALSE,"COMPARATIVO 98-99";#N/A,#N/A,FALSE,"MARGENxUNID"}</definedName>
    <definedName name="kjs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kk">{"Units A",#N/A,FALSE,"FY95SLS";"Units B",#N/A,FALSE,"FY95SLS"}</definedName>
    <definedName name="kkk">{#N/A,#N/A,FALSE,"CRDOS";#N/A,#N/A,FALSE,"CBALANCE";#N/A,#N/A,FALSE,"CPR97-1";#N/A,#N/A,FALSE,"CPR98-7 ";#N/A,#N/A,FALSE,"RATIOS";#N/A,#N/A,FALSE,"VENTAS (1)"}</definedName>
    <definedName name="klklklkl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klkl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klulo">{"Units A",#N/A,FALSE,"FY95SLS";"Units B",#N/A,FALSE,"FY95SLS"}</definedName>
    <definedName name="knkl">{"Resumen",#N/A,TRUE,"Proyección 1998-2007";#N/A,#N/A,TRUE,"Proyección 1998-2007 %";"Temáticos",#N/A,TRUE,"Proyección 1998-2007";"Events Media Park",#N/A,TRUE,"Proyección 1998-2007";"Producción Audiovisual",#N/A,TRUE,"Proyección 1998-2007";#N/A,#N/A,TRUE,"Hipótesis";"Servicios a la Producción",#N/A,TRUE,"Proyección 1998-2007"}</definedName>
    <definedName name="krii">{"US Dollars",#N/A,TRUE,"PPD";"US Dollar",#N/A,TRUE,"Anaquest";"US Dollar",#N/A,TRUE,"Delta";"US Dollar",#N/A,TRUE,"INO"}</definedName>
    <definedName name="krista">{#N/A,#N/A,TRUE,"97plnfpg"}</definedName>
    <definedName name="kuie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kuir">{"Units A",#N/A,FALSE,"FY95SLS";"Units B",#N/A,FALSE,"FY95SLS"}</definedName>
    <definedName name="kuyrk">{"Units A",#N/A,FALSE,"FY95SLS";"Units B",#N/A,FALSE,"FY95SLS"}</definedName>
    <definedName name="kyuiuyi">{"Pound Sterling",#N/A,TRUE,"PPD";"Pound Sterling",#N/A,TRUE,"Anaquest";"Pound Sterling",#N/A,TRUE,"Delta";"Pound Sterling",#N/A,TRUE,"INO"}</definedName>
    <definedName name="kyujkgfujhy">{"histincome",#N/A,FALSE,"hyfins";"closing balance",#N/A,FALSE,"hyfins"}</definedName>
    <definedName name="l">{#N/A,#N/A,FALSE,"PERSONAL";#N/A,#N/A,FALSE,"explotación";#N/A,#N/A,FALSE,"generales"}</definedName>
    <definedName name="lan">{#N/A,#N/A,TRUE,"BT M200 da 10x20"}</definedName>
    <definedName name="LEC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lhjfkl">{"Units A",#N/A,FALSE,"FY95SLS";"Units B",#N/A,FALSE,"FY95SLS"}</definedName>
    <definedName name="Library">"a1"</definedName>
    <definedName name="limcount">1</definedName>
    <definedName name="ListOffset">1</definedName>
    <definedName name="ljkl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lkjlkj">{"Final",#N/A,FALSE,"Feb-96"}</definedName>
    <definedName name="LKK">{#N/A,#N/A,FALSE,"ARCSTEP"}</definedName>
    <definedName name="ll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lj8r9fhoe">{"Graphic",#N/A,TRUE,"Graphic"}</definedName>
    <definedName name="lll">{#N/A,#N/A,FALSE,"PERSONAL";#N/A,#N/A,FALSE,"explotación";#N/A,#N/A,FALSE,"generales"}</definedName>
    <definedName name="LLLLL">{#N/A,#N/A,FALSE,"Chi tiÆt"}</definedName>
    <definedName name="lñmñ">{#N/A,#N/A,FALSE,"BalanceResumen";#N/A,#N/A,FALSE,"EOAF "}</definedName>
    <definedName name="lo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AN">{#N/A,#N/A,FALSE,"Income State.";#N/A,#N/A,FALSE,"B-S"}</definedName>
    <definedName name="LOAN_1">{#N/A,#N/A,FALSE,"Income State.";#N/A,#N/A,FALSE,"B-S"}</definedName>
    <definedName name="LOAN_2">{#N/A,#N/A,FALSE,"Income State.";#N/A,#N/A,FALSE,"B-S"}</definedName>
    <definedName name="LOAN_3">{#N/A,#N/A,FALSE,"Income State.";#N/A,#N/A,FALSE,"B-S"}</definedName>
    <definedName name="LOAN_4">{#N/A,#N/A,FALSE,"Income State.";#N/A,#N/A,FALSE,"B-S"}</definedName>
    <definedName name="LOAN_5">{#N/A,#N/A,FALSE,"Income State.";#N/A,#N/A,FALSE,"B-S"}</definedName>
    <definedName name="lokllk">{"charmin",#N/A,FALSE,"FMAM II"}</definedName>
    <definedName name="lola">{#N/A,#N/A,FALSE,"PERSONAL";#N/A,#N/A,FALSE,"explotación";#N/A,#N/A,FALSE,"generales"}</definedName>
    <definedName name="lolal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o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ryi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lrui">{"Units A",#N/A,FALSE,"FY95SLS";"Units B",#N/A,FALSE,"FY95SLS"}</definedName>
    <definedName name="ltdquarter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ltiuotui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localSheetId="0" name="m">'[6]Base Mensual'!#REF!</definedName>
    <definedName name="m">'[6]Base Mensual'!#REF!</definedName>
    <definedName name="M_PlaceofPath">"G:\SECTORS\Household\HOUSEHOL\WILKE\GILLETTE\GENERAL\G_VDF.xls"</definedName>
    <definedName name="mcvn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mdgh">{"Pound Sterling",#N/A,TRUE,"PPD";"Pound Sterling",#N/A,TRUE,"Anaquest";"Pound Sterling",#N/A,TRUE,"Delta";"Pound Sterling",#N/A,TRUE,"INO"}</definedName>
    <definedName localSheetId="0" name="MerrillPrintIt">[36]!MerrillPrintIt</definedName>
    <definedName name="MerrillPrintIt">[36]!MerrillPrintIt</definedName>
    <definedName name="MERVAL">'[45]VAR-INTER'!$Q$525:$Q$541</definedName>
    <definedName name="mhjmdh">{"Pound Sterling",#N/A,TRUE,"PPD";"Pound Sterling",#N/A,TRUE,"Anaquest";"Pound Sterling",#N/A,TRUE,"Delta";"Pound Sterling",#N/A,TRUE,"INO"}</definedName>
    <definedName name="michelle">{"Summary analysis",#N/A,FALSE,"Total";"OCPH analysis",#N/A,FALSE,"Total";"detail analysis",#N/A,FALSE,"Total"}</definedName>
    <definedName name="mjwrtjtrjutr">{"Pound Sterling",#N/A,TRUE,"PPD";"Pound Sterling",#N/A,TRUE,"Anaquest";"Pound Sterling",#N/A,TRUE,"Delta";"Pound Sterling",#N/A,TRUE,"INO"}</definedName>
    <definedName name="mmm">{"AnnMarg",#N/A,FALSE,"FALCON";"Q",#N/A,FALSE,"Qtrs."}</definedName>
    <definedName name="mnv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Mobilenew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myukr">{"Units A",#N/A,FALSE,"FY95SLS";"Units B",#N/A,FALSE,"FY95SLS"}</definedName>
    <definedName name="n">{#N/A,#N/A,TRUE,"DCF Summary";#N/A,#N/A,TRUE,"Casema";#N/A,#N/A,TRUE,"UK";#N/A,#N/A,TRUE,"RCF";#N/A,#N/A,TRUE,"Intercable CZ";#N/A,#N/A,TRUE,"Interkabel P";#N/A,#N/A,TRUE,"LBO-Total";#N/A,#N/A,TRUE,"LBO-Casema"}</definedName>
    <definedName name="nadfh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nadfnhf">{"Pound Sterling",#N/A,TRUE,"PPD";"Pound Sterling",#N/A,TRUE,"Anaquest";"Pound Sterling",#N/A,TRUE,"Delta";"Pound Sterling",#N/A,TRUE,"INO"}</definedName>
    <definedName name="nanahadf">{"Units A",#N/A,FALSE,"FY95SLS";"Units B",#N/A,FALSE,"FY95SLS"}</definedName>
    <definedName name="NBM">{#N/A,#N/A,TRUE,"AHFSTEP"}</definedName>
    <definedName name="ndfh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ndghndtyj">{"Units A",#N/A,FALSE,"FY95SLS";"Units B",#N/A,FALSE,"FY95SLS"}</definedName>
    <definedName name="netyjeyt">{"Pound Sterling",#N/A,TRUE,"PPD";"Pound Sterling",#N/A,TRUE,"Anaquest";"Pound Sterling",#N/A,TRUE,"Delta";"Pound Sterling",#N/A,TRUE,"INO"}</definedName>
    <definedName name="NEW">{"Page 1",#N/A,TRUE,"Sheet1";"Page 2",#N/A,TRUE,"Sheet1"}</definedName>
    <definedName name="newbel">{"'Directory'!$A$72:$E$91"}</definedName>
    <definedName name="newbls">{"'Directory'!$A$72:$E$91"}</definedName>
    <definedName localSheetId="0" name="NewRange">[36]!NewRange</definedName>
    <definedName name="NewRange">[36]!NewRange</definedName>
    <definedName name="newt">{"'Directory'!$A$72:$E$91"}</definedName>
    <definedName name="newtest2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newtest3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newwcom">{"'Directory'!$A$72:$E$91"}</definedName>
    <definedName name="ngfhs">{"Pound Sterling",#N/A,TRUE,"PPD";"Pound Sterling",#N/A,TRUE,"Anaquest";"Pound Sterling",#N/A,TRUE,"Delta";"Pound Sterling",#N/A,TRUE,"INO"}</definedName>
    <definedName name="ngfhsg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nghjytj">{"Pound Sterling",#N/A,TRUE,"PPD";"Pound Sterling",#N/A,TRUE,"Anaquest";"Pound Sterling",#N/A,TRUE,"Delta";"Pound Sterling",#N/A,TRUE,"INO"}</definedName>
    <definedName name="nhgnjeyhj">{"Pound Sterling",#N/A,TRUE,"PPD";"Pound Sterling",#N/A,TRUE,"Anaquest";"Pound Sterling",#N/A,TRUE,"Delta";"Pound Sterling",#N/A,TRUE,"INO"}</definedName>
    <definedName name="nknknknknknkn">{"Pound Sterling",#N/A,TRUE,"PPD";"Pound Sterling",#N/A,TRUE,"Anaquest";"Pound Sterling",#N/A,TRUE,"Delta";"Pound Sterling",#N/A,TRUE,"INO"}</definedName>
    <definedName name="nmnmm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one">{"Summary analysis",#N/A,FALSE,"Total";"OCPH analysis",#N/A,FALSE,"Total";"detail analysis",#N/A,FALSE,"Total"}</definedName>
    <definedName name="not">{"International Total",#N/A,FALSE,"Sheet1";"Mexico (5)",#N/A,FALSE,"Sheet1";"Mexico (37)",#N/A,FALSE,"Sheet1";"Puerto Rico (10)",#N/A,FALSE,"Sheet1"}</definedName>
    <definedName name="nota">{#N/A,#N/A,FALSE,"Receipt";"Disbursement Forecast",#N/A,FALSE,"Disburse";"Disbursement Actual",#N/A,FALSE,"Disburse";"Rec Detail",#N/A,FALSE,"F-CDIRec";"Rec Sched",#N/A,FALSE,"F-CDIRec";#N/A,#N/A,FALSE,"F-CnsrtRec";"Detailed Assumptions",#N/A,FALSE,"F-CDIDisb";"Schedule",#N/A,FALSE,"F-CDIDisb";"Detailed Assumptions",#N/A,FALSE,"F-CnsrtDisb";"Schedule",#N/A,FALSE,"F-CnsrtDisb";"Detailed Assumptions",#N/A,FALSE,"F-HITDisb";"Schedule",#N/A,FALSE,"F-HITDisb";"Schedule",#N/A,FALSE,"A-CDIDisb";"Schedule",#N/A,FALSE,"A-CnsrtDisb";"Schedule",#N/A,FALSE,"A-HITDisb";#N/A,#N/A,FALSE,"Drivers"}</definedName>
    <definedName name="notused10">{#N/A,#N/A,TRUE,"Top";#N/A,#N/A,TRUE,"Quarter";#N/A,#N/A,TRUE,"Variance";#N/A,#N/A,TRUE,"Forecast";#N/A,#N/A,TRUE,"ForecastMnthly";#N/A,#N/A,TRUE,"ForecastQtrly";#N/A,#N/A,TRUE,"Actual"}</definedName>
    <definedName name="notused100">{#N/A,#N/A,FALSE,"Receipt";"Disbursement Forecast",#N/A,FALSE,"Disburse";"Disbursement Actual",#N/A,FALSE,"Disburse";"Rec Detail",#N/A,FALSE,"F-CDIRec";"Rec Sched",#N/A,FALSE,"F-CDIRec";#N/A,#N/A,FALSE,"F-CnsrtRec";"Detailed Assumptions",#N/A,FALSE,"F-CDIDisb";"Schedule",#N/A,FALSE,"F-CDIDisb";"Detailed Assumptions",#N/A,FALSE,"F-CnsrtDisb";"Schedule",#N/A,FALSE,"F-CnsrtDisb";"Detailed Assumptions",#N/A,FALSE,"F-HITDisb";"Schedule",#N/A,FALSE,"F-HITDisb";"Schedule",#N/A,FALSE,"A-CDIDisb";"Schedule",#N/A,FALSE,"A-CnsrtDisb";"Schedule",#N/A,FALSE,"A-HITDisb";#N/A,#N/A,FALSE,"Drivers"}</definedName>
    <definedName name="notused1000">{#N/A,#N/A,TRUE,"Top";#N/A,#N/A,TRUE,"Quarter";#N/A,#N/A,TRUE,"Variance";#N/A,#N/A,TRUE,"Forecast";#N/A,#N/A,TRUE,"ForecastMnthly";#N/A,#N/A,TRUE,"ForecastQtrly";#N/A,#N/A,TRUE,"Actual"}</definedName>
    <definedName name="notused10010">{#N/A,#N/A,TRUE,"Top";#N/A,#N/A,TRUE,"Quarter";#N/A,#N/A,TRUE,"Variance";#N/A,#N/A,TRUE,"Forecast";#N/A,#N/A,TRUE,"ForecastMnthly";#N/A,#N/A,TRUE,"ForecastQtrly";#N/A,#N/A,TRUE,"Actual"}</definedName>
    <definedName name="notused10011">{"Detailed License Receipts",#N/A,FALSE,"F-InstallRec";"Maint Sched",#N/A,FALSE,"F-MainRec";#N/A,#N/A,FALSE,"F-OtherRec";"Other Detail",#N/A,FALSE,"F-OtherRec";"Con Month Rev",#N/A,FALSE,"F-ConSemRec";"Other Sched",#N/A,FALSE,"F-OtherRec";"Consulting Schedules",#N/A,FALSE,"F-ConSemRec";"Schedule",#N/A,FALSE,"A-CorpDisb";"Schedule",#N/A,FALSE,"A-AtwkDisb";#N/A,#N/A,FALSE,"F-CorpDisb";"Schedule",#N/A,FALSE,"F-CorpDisb";"Schedule",#N/A,FALSE,"F-AtwkDisb";"Detailed Assumptions",#N/A,FALSE,"F-CorpDisb";"Detailed Assumptions",#N/A,FALSE,"F-AtwkDisb";"Contract Assumptions",#N/A,FALSE,"Drivers";"Disbursement Drivers",#N/A,FALSE,"Drivers";"Detailed Triggers",#N/A,FALSE,"Triggers";"Quarter",#N/A,FALSE,"Triggers";"Rollout Contracts",#N/A,FALSE,"Triggers"}</definedName>
    <definedName name="notused10012">{#N/A,#N/A,TRUE,"Forecast";#N/A,#N/A,TRUE,"ForecastMnthly";#N/A,#N/A,TRUE,"ForecastQtrly";#N/A,#N/A,TRUE,"Actual"}</definedName>
    <definedName name="notused10013">{#N/A,#N/A,TRUE,"Top";#N/A,#N/A,TRUE,"Quarter";#N/A,#N/A,TRUE,"Variance"}</definedName>
    <definedName name="notused10014">{#N/A,#N/A,FALSE,"Receipt Sums";#N/A,#N/A,FALSE,"Disburse Sums";"Rec Dtl",#N/A,FALSE,"Rec Main";"Rec Sched",#N/A,FALSE,"Rec Main";"Rec Static",#N/A,FALSE,"Rec Static";"Corp Dtl",#N/A,FALSE,"Corp - Frcst";"Corp Sched",#N/A,FALSE,"Corp - Frcst";"SW Sched",#N/A,FALSE,"S&amp;W - Frcst";"Office Dtl",#N/A,FALSE,"Office - Frcst";"Office Sched",#N/A,FALSE,"Office - Frcst"}</definedName>
    <definedName name="notused10015">{"Schedule",#N/A,FALSE,"Receipt";"Disbursement Actual",#N/A,FALSE,"Disburse";"Disbursement Forecast",#N/A,FALSE,"Disburse"}</definedName>
    <definedName name="notused1002">{#N/A,#N/A,FALSE,"Receipt";"Disbursement Forecast",#N/A,FALSE,"Disburse";"Disbursement Actual",#N/A,FALSE,"Disburse";"Rec Detail",#N/A,FALSE,"F-CDIRec";"Rec Sched",#N/A,FALSE,"F-CDIRec";#N/A,#N/A,FALSE,"F-CnsrtRec";"Detailed Assumptions",#N/A,FALSE,"F-CDIDisb";"Schedule",#N/A,FALSE,"F-CDIDisb";"Detailed Assumptions",#N/A,FALSE,"F-CnsrtDisb";"Schedule",#N/A,FALSE,"F-CnsrtDisb";"Detailed Assumptions",#N/A,FALSE,"F-HITDisb";"Schedule",#N/A,FALSE,"F-HITDisb";"Schedule",#N/A,FALSE,"A-CDIDisb";"Schedule",#N/A,FALSE,"A-CnsrtDisb";"Schedule",#N/A,FALSE,"A-HITDisb";#N/A,#N/A,FALSE,"Drivers"}</definedName>
    <definedName name="notused1003">{"Detailed License Receipts",#N/A,FALSE,"F-InstallRec";"Maint Sched",#N/A,FALSE,"F-MainRec";#N/A,#N/A,FALSE,"F-OtherRec";"Other Detail",#N/A,FALSE,"F-OtherRec";"Con Month Rev",#N/A,FALSE,"F-ConSemRec";"Other Sched",#N/A,FALSE,"F-OtherRec";"Consulting Schedules",#N/A,FALSE,"F-ConSemRec";"Schedule",#N/A,FALSE,"A-CorpDisb";"Schedule",#N/A,FALSE,"A-AtwkDisb";#N/A,#N/A,FALSE,"F-CorpDisb";"Schedule",#N/A,FALSE,"F-CorpDisb";"Schedule",#N/A,FALSE,"F-AtwkDisb";"Detailed Assumptions",#N/A,FALSE,"F-CorpDisb";"Detailed Assumptions",#N/A,FALSE,"F-AtwkDisb";"Contract Assumptions",#N/A,FALSE,"Drivers";"Disbursement Drivers",#N/A,FALSE,"Drivers";"Detailed Triggers",#N/A,FALSE,"Triggers";"Quarter",#N/A,FALSE,"Triggers";"Rollout Contracts",#N/A,FALSE,"Triggers"}</definedName>
    <definedName name="notused1004">{#N/A,#N/A,TRUE,"Forecast";#N/A,#N/A,TRUE,"ForecastMnthly";#N/A,#N/A,TRUE,"ForecastQtrly";#N/A,#N/A,TRUE,"Actual"}</definedName>
    <definedName name="notused1005">{#N/A,#N/A,TRUE,"Top";#N/A,#N/A,TRUE,"Quarter";#N/A,#N/A,TRUE,"Variance"}</definedName>
    <definedName name="notused1007">{#N/A,#N/A,FALSE,"Receipt Sums";#N/A,#N/A,FALSE,"Disburse Sums";"Rec Dtl",#N/A,FALSE,"Rec Main";"Rec Sched",#N/A,FALSE,"Rec Main";"Rec Static",#N/A,FALSE,"Rec Static";"Corp Dtl",#N/A,FALSE,"Corp - Frcst";"Corp Sched",#N/A,FALSE,"Corp - Frcst";"SW Sched",#N/A,FALSE,"S&amp;W - Frcst";"Office Dtl",#N/A,FALSE,"Office - Frcst";"Office Sched",#N/A,FALSE,"Office - Frcst"}</definedName>
    <definedName name="notused1009">{#N/A,#N/A,FALSE,"Receipt";"Disbursement Forecast",#N/A,FALSE,"Disburse";"Disbursement Actual",#N/A,FALSE,"Disburse";"Rec Detail",#N/A,FALSE,"F-CDIRec";"Rec Sched",#N/A,FALSE,"F-CDIRec";#N/A,#N/A,FALSE,"F-CnsrtRec";"Detailed Assumptions",#N/A,FALSE,"F-CDIDisb";"Schedule",#N/A,FALSE,"F-CDIDisb";"Detailed Assumptions",#N/A,FALSE,"F-CnsrtDisb";"Schedule",#N/A,FALSE,"F-CnsrtDisb";"Detailed Assumptions",#N/A,FALSE,"F-HITDisb";"Schedule",#N/A,FALSE,"F-HITDisb";"Schedule",#N/A,FALSE,"A-CDIDisb";"Schedule",#N/A,FALSE,"A-CnsrtDisb";"Schedule",#N/A,FALSE,"A-HITDisb";#N/A,#N/A,FALSE,"Drivers"}</definedName>
    <definedName name="notused102">{"Detailed License Receipts",#N/A,FALSE,"F-InstallRec";"Maint Sched",#N/A,FALSE,"F-MainRec";#N/A,#N/A,FALSE,"F-OtherRec";"Other Detail",#N/A,FALSE,"F-OtherRec";"Con Month Rev",#N/A,FALSE,"F-ConSemRec";"Other Sched",#N/A,FALSE,"F-OtherRec";"Consulting Schedules",#N/A,FALSE,"F-ConSemRec";"Schedule",#N/A,FALSE,"A-CorpDisb";"Schedule",#N/A,FALSE,"A-AtwkDisb";#N/A,#N/A,FALSE,"F-CorpDisb";"Schedule",#N/A,FALSE,"F-CorpDisb";"Schedule",#N/A,FALSE,"F-AtwkDisb";"Detailed Assumptions",#N/A,FALSE,"F-CorpDisb";"Detailed Assumptions",#N/A,FALSE,"F-AtwkDisb";"Contract Assumptions",#N/A,FALSE,"Drivers";"Disbursement Drivers",#N/A,FALSE,"Drivers";"Detailed Triggers",#N/A,FALSE,"Triggers";"Quarter",#N/A,FALSE,"Triggers";"Rollout Contracts",#N/A,FALSE,"Triggers"}</definedName>
    <definedName name="notused103">{#N/A,#N/A,TRUE,"Forecast";#N/A,#N/A,TRUE,"ForecastMnthly";#N/A,#N/A,TRUE,"ForecastQtrly";#N/A,#N/A,TRUE,"Actual"}</definedName>
    <definedName name="notused104">{#N/A,#N/A,TRUE,"Top";#N/A,#N/A,TRUE,"Quarter";#N/A,#N/A,TRUE,"Variance"}</definedName>
    <definedName name="notused106">{#N/A,#N/A,FALSE,"Receipt Sums";#N/A,#N/A,FALSE,"Disburse Sums";"Rec Dtl",#N/A,FALSE,"Rec Main";"Rec Sched",#N/A,FALSE,"Rec Main";"Rec Static",#N/A,FALSE,"Rec Static";"Corp Dtl",#N/A,FALSE,"Corp - Frcst";"Corp Sched",#N/A,FALSE,"Corp - Frcst";"SW Sched",#N/A,FALSE,"S&amp;W - Frcst";"Office Dtl",#N/A,FALSE,"Office - Frcst";"Office Sched",#N/A,FALSE,"Office - Frcst"}</definedName>
    <definedName name="notused107">{"Schedule",#N/A,FALSE,"Receipt";"Disbursement Actual",#N/A,FALSE,"Disburse";"Disbursement Forecast",#N/A,FALSE,"Disburse"}</definedName>
    <definedName name="notused210">{#N/A,#N/A,FALSE,"Receipt";"Disbursement Forecast",#N/A,FALSE,"Disburse";"Disbursement Actual",#N/A,FALSE,"Disburse";"Rec Detail",#N/A,FALSE,"F-CDIRec";"Rec Sched",#N/A,FALSE,"F-CDIRec";#N/A,#N/A,FALSE,"F-CnsrtRec";"Detailed Assumptions",#N/A,FALSE,"F-CDIDisb";"Schedule",#N/A,FALSE,"F-CDIDisb";"Detailed Assumptions",#N/A,FALSE,"F-CnsrtDisb";"Schedule",#N/A,FALSE,"F-CnsrtDisb";"Detailed Assumptions",#N/A,FALSE,"F-HITDisb";"Schedule",#N/A,FALSE,"F-HITDisb";"Schedule",#N/A,FALSE,"A-CDIDisb";"Schedule",#N/A,FALSE,"A-CnsrtDisb";"Schedule",#N/A,FALSE,"A-HITDisb";#N/A,#N/A,FALSE,"Drivers"}</definedName>
    <definedName name="notused230">{"Detailed License Receipts",#N/A,FALSE,"F-InstallRec";"Maint Sched",#N/A,FALSE,"F-MainRec";#N/A,#N/A,FALSE,"F-OtherRec";"Other Detail",#N/A,FALSE,"F-OtherRec";"Con Month Rev",#N/A,FALSE,"F-ConSemRec";"Other Sched",#N/A,FALSE,"F-OtherRec";"Consulting Schedules",#N/A,FALSE,"F-ConSemRec";"Schedule",#N/A,FALSE,"A-CorpDisb";"Schedule",#N/A,FALSE,"A-AtwkDisb";#N/A,#N/A,FALSE,"F-CorpDisb";"Schedule",#N/A,FALSE,"F-CorpDisb";"Schedule",#N/A,FALSE,"F-AtwkDisb";"Detailed Assumptions",#N/A,FALSE,"F-CorpDisb";"Detailed Assumptions",#N/A,FALSE,"F-AtwkDisb";"Contract Assumptions",#N/A,FALSE,"Drivers";"Disbursement Drivers",#N/A,FALSE,"Drivers";"Detailed Triggers",#N/A,FALSE,"Triggers";"Quarter",#N/A,FALSE,"Triggers";"Rollout Contracts",#N/A,FALSE,"Triggers"}</definedName>
    <definedName name="notused231">{#N/A,#N/A,TRUE,"Forecast";#N/A,#N/A,TRUE,"ForecastMnthly";#N/A,#N/A,TRUE,"ForecastQtrly";#N/A,#N/A,TRUE,"Actual"}</definedName>
    <definedName name="notused2321">{#N/A,#N/A,TRUE,"Top";#N/A,#N/A,TRUE,"Quarter";#N/A,#N/A,TRUE,"Variance"}</definedName>
    <definedName name="notused233">{#N/A,#N/A,FALSE,"Receipt Sums";#N/A,#N/A,FALSE,"Disburse Sums";"Rec Dtl",#N/A,FALSE,"Rec Main";"Rec Sched",#N/A,FALSE,"Rec Main";"Rec Static",#N/A,FALSE,"Rec Static";"Corp Dtl",#N/A,FALSE,"Corp - Frcst";"Corp Sched",#N/A,FALSE,"Corp - Frcst";"SW Sched",#N/A,FALSE,"S&amp;W - Frcst";"Office Dtl",#N/A,FALSE,"Office - Frcst";"Office Sched",#N/A,FALSE,"Office - Frcst"}</definedName>
    <definedName name="notused234">{"Schedule",#N/A,FALSE,"Receipt";"Disbursement Actual",#N/A,FALSE,"Disburse";"Disbursement Forecast",#N/A,FALSE,"Disburse"}</definedName>
    <definedName name="notused235">{#N/A,#N/A,FALSE,"Receipt";"Disbursement Forecast",#N/A,FALSE,"Disburse";"Disbursement Actual",#N/A,FALSE,"Disburse";"Rec Detail",#N/A,FALSE,"F-CDIRec";"Rec Sched",#N/A,FALSE,"F-CDIRec";#N/A,#N/A,FALSE,"F-CnsrtRec";"Detailed Assumptions",#N/A,FALSE,"F-CDIDisb";"Schedule",#N/A,FALSE,"F-CDIDisb";"Detailed Assumptions",#N/A,FALSE,"F-CnsrtDisb";"Schedule",#N/A,FALSE,"F-CnsrtDisb";"Detailed Assumptions",#N/A,FALSE,"F-HITDisb";"Schedule",#N/A,FALSE,"F-HITDisb";"Schedule",#N/A,FALSE,"A-CDIDisb";"Schedule",#N/A,FALSE,"A-CnsrtDisb";"Schedule",#N/A,FALSE,"A-HITDisb";#N/A,#N/A,FALSE,"Drivers"}</definedName>
    <definedName name="notused236">{#N/A,#N/A,TRUE,"Top";#N/A,#N/A,TRUE,"Quarter";#N/A,#N/A,TRUE,"Variance";#N/A,#N/A,TRUE,"Forecast";#N/A,#N/A,TRUE,"ForecastMnthly";#N/A,#N/A,TRUE,"ForecastQtrly";#N/A,#N/A,TRUE,"Actual"}</definedName>
    <definedName name="notused237">{"Detailed License Receipts",#N/A,FALSE,"F-InstallRec";"Maint Sched",#N/A,FALSE,"F-MainRec";#N/A,#N/A,FALSE,"F-OtherRec";"Other Detail",#N/A,FALSE,"F-OtherRec";"Con Month Rev",#N/A,FALSE,"F-ConSemRec";"Other Sched",#N/A,FALSE,"F-OtherRec";"Consulting Schedules",#N/A,FALSE,"F-ConSemRec";"Schedule",#N/A,FALSE,"A-CorpDisb";"Schedule",#N/A,FALSE,"A-AtwkDisb";#N/A,#N/A,FALSE,"F-CorpDisb";"Schedule",#N/A,FALSE,"F-CorpDisb";"Schedule",#N/A,FALSE,"F-AtwkDisb";"Detailed Assumptions",#N/A,FALSE,"F-CorpDisb";"Detailed Assumptions",#N/A,FALSE,"F-AtwkDisb";"Contract Assumptions",#N/A,FALSE,"Drivers";"Disbursement Drivers",#N/A,FALSE,"Drivers";"Detailed Triggers",#N/A,FALSE,"Triggers";"Quarter",#N/A,FALSE,"Triggers";"Rollout Contracts",#N/A,FALSE,"Triggers"}</definedName>
    <definedName name="notused238">{#N/A,#N/A,TRUE,"Forecast";#N/A,#N/A,TRUE,"ForecastMnthly";#N/A,#N/A,TRUE,"ForecastQtrly";#N/A,#N/A,TRUE,"Actual"}</definedName>
    <definedName name="notused239">{#N/A,#N/A,TRUE,"Top";#N/A,#N/A,TRUE,"Quarter";#N/A,#N/A,TRUE,"Variance"}</definedName>
    <definedName name="notused240">{#N/A,#N/A,FALSE,"Receipt Sums";#N/A,#N/A,FALSE,"Disburse Sums";"Rec Dtl",#N/A,FALSE,"Rec Main";"Rec Sched",#N/A,FALSE,"Rec Main";"Rec Static",#N/A,FALSE,"Rec Static";"Corp Dtl",#N/A,FALSE,"Corp - Frcst";"Corp Sched",#N/A,FALSE,"Corp - Frcst";"SW Sched",#N/A,FALSE,"S&amp;W - Frcst";"Office Dtl",#N/A,FALSE,"Office - Frcst";"Office Sched",#N/A,FALSE,"Office - Frcst"}</definedName>
    <definedName name="notused260">{"Schedule",#N/A,FALSE,"Receipt";"Disbursement Actual",#N/A,FALSE,"Disburse";"Disbursement Forecast",#N/A,FALSE,"Disburse"}</definedName>
    <definedName name="nsgh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Nuevo">{"Resumen",#N/A,TRUE,"Proyección 1998-2007";#N/A,#N/A,TRUE,"Proyección 1998-2007 %";"Temáticos",#N/A,TRUE,"Proyección 1998-2007";"Events Media Park",#N/A,TRUE,"Proyección 1998-2007";"Producción Audiovisual",#N/A,TRUE,"Proyección 1998-2007";#N/A,#N/A,TRUE,"Hipótesis";"Servicios a la Producción",#N/A,TRUE,"Proyección 1998-2007"}</definedName>
    <definedName name="nuovo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ññ">{#N/A,#N/A,FALSE,"PERSONAL";#N/A,#N/A,FALSE,"explotación";#N/A,#N/A,FALSE,"generales"}</definedName>
    <definedName name="ññññ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o">{"SchN1",#N/A,FALSE,"Schedules"}</definedName>
    <definedName name="ó">{"'Clientes_acumulado'!$A$1:$G$177"}</definedName>
    <definedName name="oghu">{#N/A,#N/A,FALSE,"Aging Summary";#N/A,#N/A,FALSE,"Ratio Analysis";#N/A,#N/A,FALSE,"Test 120 Day Accts";#N/A,#N/A,FALSE,"Tickmarks"}</definedName>
    <definedName name="oioi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oioioioioi">{"Pound Sterling",#N/A,TRUE,"PPD";"Pound Sterling",#N/A,TRUE,"Anaquest";"Pound Sterling",#N/A,TRUE,"Delta";"Pound Sterling",#N/A,TRUE,"INO"}</definedName>
    <definedName name="oioioioioioio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OK">{#N/A,#N/A,FALSE,"Cover";#N/A,#N/A,FALSE,"LUMI";#N/A,#N/A,FALSE,"COMD";#N/A,#N/A,FALSE,"Valuation";#N/A,#N/A,FALSE,"Assumptions";#N/A,#N/A,FALSE,"Pooling";#N/A,#N/A,FALSE,"BalanceSheet"}</definedName>
    <definedName name="old">{#N/A,#N/A,FALSE,"Proj Cost";#N/A,#N/A,FALSE,"Fair Scenario";#N/A,#N/A,FALSE,"Wonderful Scenario";#N/A,#N/A,FALSE,"Awful Scenario"}</definedName>
    <definedName name="oo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poiy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opopopopopo">{"Units A",#N/A,FALSE,"FY95SLS";"Units B",#N/A,FALSE,"FY95SLS"}</definedName>
    <definedName name="otuor">{"Units A",#N/A,FALSE,"FY95SLS";"Units B",#N/A,FALSE,"FY95SLS"}</definedName>
    <definedName name="our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p">{"Summ1",#N/A,FALSE,"Summary"}</definedName>
    <definedName name="Pal_Workbook_GUID">"NDG7SRIEJUSBNTHFCUXE217E"</definedName>
    <definedName name="pc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perro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PetPL">{#N/A,#N/A,FALSE,"J97plnfp"}</definedName>
    <definedName name="PH">{#N/A,#N/A,FALSE,"CRDOS";#N/A,#N/A,FALSE,"Ing.Ord";#N/A,#N/A,FALSE,"Otros.Ing.Ord.";#N/A,#N/A,FALSE,"Personal";#N/A,#N/A,FALSE,"Comisiones";#N/A,#N/A,FALSE,"Materiales";#N/A,#N/A,FALSE,"Imprenta";#N/A,#N/A,FALSE,"Distribución";#N/A,#N/A,FALSE,"Marketing";#N/A,#N/A,FALSE,"Serv.Ext.Com.";#N/A,#N/A,FALSE,"Otros Serv.Ext. ";#N/A,#N/A,FALSE,"Viaje";#N/A,#N/A,FALSE,"Alquileres";#N/A,#N/A,FALSE,"Envío ";#N/A,#N/A,FALSE,"Otros Gtos. ";#N/A,#N/A,FALSE,"Provis.";#N/A,#N/A,FALSE,"Amortiz. ";#N/A,#N/A,FALSE,"Ingr.Finac.";#N/A,#N/A,FALSE,"Gtos.Finac. ";#N/A,#N/A,FALSE,"Ing.Extra ";#N/A,#N/A,FALSE,"Gtos.Extra "}</definedName>
    <definedName name="Philips_Overall">{"001Blank",#N/A,TRUE,"Blank";"02SSMC_mb1",#N/A,TRUE,"SSMC(DL's breakout)";"Div",#N/A,TRUE,"Div";"002SSMC_mb2",#N/A,TRUE,"SSMC(DL's breakout)";"003SSMC_YTD",#N/A,TRUE,"SSMC";"004GEN_CMth",#N/A,TRUE,"GEN";"005GEN_YTD",#N/A,TRUE,"GEN";"006Mgt_CMth",#N/A,TRUE,"Mgt";"007Mgt_YTD",#N/A,TRUE,"Mgt";"008Fac_CMth",#N/A,TRUE,"Fac";"009Fac_YTD",#N/A,TRUE,"Fac";"010Qly_CMth",#N/A,TRUE,"Qly";"011Qly_YTD",#N/A,TRUE,"Qly";"012F&amp;A_CMth",#N/A,TRUE,"F&amp;A";"013F&amp;A_YTD",#N/A,TRUE,"F&amp;A";"014SPCS2_CMth",#N/A,TRUE,"SPCS";"015SPCS_YTD",#N/A,TRUE,"SPCS";"016HR_CMth",#N/A,TRUE,"HR";"017HR_YTD",#N/A,TRUE,"HR";"018Purchasing_CMth",#N/A,TRUE,"Purchasing";"019Purchasing_YTD",#N/A,TRUE,"Purchasing";"020Log_CMth",#N/A,TRUE,"Log";"021Log_YTD",#N/A,TRUE,"Log";"022Opn_CMth",#N/A,TRUE,"OPN";"023Opn_YTD",#N/A,TRUE,"OPN";"024TECH_CMth",#N/A,TRUE,"TECH";"025TECH_YTD",#N/A,TRUE,"TECH"}</definedName>
    <definedName name="pi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pi_2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pippo">{#N/A,#N/A,FALSE,"Table of Contents";#N/A,#N/A,FALSE,"Overview";#N/A,#N/A,FALSE,"Data"}</definedName>
    <definedName name="pippo2">{#N/A,#N/A,FALSE,"Table of Contents";#N/A,#N/A,FALSE,"Overview";#N/A,#N/A,FALSE,"Data"}</definedName>
    <definedName name="pl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opCache_GL_INTERFACE_REFERENCE7">[46]PopCache!$A$1:$A$2</definedName>
    <definedName name="pp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ppp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tojulián">{#N/A,#N/A,FALSE,"CRDOS";#N/A,#N/A,FALSE,"Ing.Ord";#N/A,#N/A,FALSE,"Otros.Ing.Ord.";#N/A,#N/A,FALSE,"Personal";#N/A,#N/A,FALSE,"Comisiones";#N/A,#N/A,FALSE,"Materiales";#N/A,#N/A,FALSE,"Imprenta";#N/A,#N/A,FALSE,"Distribución";#N/A,#N/A,FALSE,"Marketing";#N/A,#N/A,FALSE,"Serv.Ext.Com.";#N/A,#N/A,FALSE,"Otros Serv.Ext. ";#N/A,#N/A,FALSE,"Viaje";#N/A,#N/A,FALSE,"Alquileres";#N/A,#N/A,FALSE,"Envío ";#N/A,#N/A,FALSE,"Otros Gtos. ";#N/A,#N/A,FALSE,"Provis.";#N/A,#N/A,FALSE,"Amortiz. ";#N/A,#N/A,FALSE,"Ingr.Finac.";#N/A,#N/A,FALSE,"Gtos.Finac. ";#N/A,#N/A,FALSE,"Ing.Extra ";#N/A,#N/A,FALSE,"Gtos.Extra "}</definedName>
    <definedName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s2">{#N/A,#N/A,FALSE,"Producao";#N/A,#N/A,FALSE,"Prov Oper";#N/A,#N/A,FALSE,"Cons e Mg Br";#N/A,#N/A,FALSE,"G Gerais";#N/A,#N/A,FALSE,"Plano_Invest.";#N/A,#N/A,FALSE,"Mapa FM";#N/A,#N/A,FALSE,"DR";#N/A,#N/A,FALSE,"Balanço";#N/A,#N/A,FALSE,"Valor"}</definedName>
    <definedName name="press3">{#N/A,#N/A,FALSE,"Producao";#N/A,#N/A,FALSE,"Prov Oper";#N/A,#N/A,FALSE,"Cons e Mg Br";#N/A,#N/A,FALSE,"G Gerais";#N/A,#N/A,FALSE,"Plano_Invest.";#N/A,#N/A,FALSE,"Mapa FM";#N/A,#N/A,FALSE,"DR";#N/A,#N/A,FALSE,"Balanço";#N/A,#N/A,FALSE,"Valor"}</definedName>
    <definedName name="pricesg.xls">{#N/A,#N/A,FALSE,"J97plnfp"}</definedName>
    <definedName name="prinallnew">{"sterling",#N/A,FALSE,"£";"USdollar",#N/A,FALSE,"USA$";"mark",#N/A,FALSE,"DM";"peseta",#N/A,FALSE,"Pta";"lira",#N/A,FALSE,"LIRA";"euro",#N/A,FALSE,"Euro";"Ausdollar",#N/A,FALSE,"Aus$";"other",#N/A,FALSE,"Other"}</definedName>
    <definedName name="Print_CSC_Report_2">{"CSC_1",#N/A,FALSE,"CSC Outputs";"CSC_2",#N/A,FALSE,"CSC Outputs"}</definedName>
    <definedName name="print3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Buyer">{#N/A,"DR",FALSE,"increm pf";#N/A,"MAMSI",FALSE,"increm pf";#N/A,"MAXI",FALSE,"increm pf";#N/A,"PCAM",FALSE,"increm pf";#N/A,"PHSV",FALSE,"increm pf";#N/A,"SIE",FALSE,"increm pf"}</definedName>
    <definedName name="Productivity">{"Summary analysis",#N/A,FALSE,"Total";"OCPH analysis",#N/A,FALSE,"Total";"detail analysis",#N/A,FALSE,"Total"}</definedName>
    <definedName name="prova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TC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prueba">{#N/A,#N/A,FALSE,"Aging Summary";#N/A,#N/A,FALSE,"Ratio Analysis";#N/A,#N/A,FALSE,"Test 120 Day Accts";#N/A,#N/A,FALSE,"Tickmarks"}</definedName>
    <definedName name="PSM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PUB_FileID">"L10003363.xls"</definedName>
    <definedName name="PUB_UserID">"MAYERX"</definedName>
    <definedName name="qaz">{0,0,"",0}</definedName>
    <definedName name="qegergqer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qegqerg">{"Pound Sterling",#N/A,TRUE,"PPD";"Pound Sterling",#N/A,TRUE,"Anaquest";"Pound Sterling",#N/A,TRUE,"Delta";"Pound Sterling",#N/A,TRUE,"INO"}</definedName>
    <definedName name="qeq">{#N/A,#N/A,FALSE,"ACQ_GRAPHS";#N/A,#N/A,FALSE,"T_1 GRAPHS";#N/A,#N/A,FALSE,"T_2 GRAPHS";#N/A,#N/A,FALSE,"COMB_GRAPHS"}</definedName>
    <definedName name="qer">{"Units A",#N/A,FALSE,"FY95SLS";"Units B",#N/A,FALSE,"FY95SLS"}</definedName>
    <definedName name="qergqer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qergqergqe">{"Units A",#N/A,FALSE,"FY95SLS";"Units B",#N/A,FALSE,"FY95SLS"}</definedName>
    <definedName name="qq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qqq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QQQQ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qq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">{#N/A,#N/A,FALSE,"PERSONAL";#N/A,#N/A,FALSE,"explotación";#N/A,#N/A,FALSE,"generales"}</definedName>
    <definedName name="qqqqqqqqq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sdf3">{"Units A",#N/A,FALSE,"FY95SLS";"Units B",#N/A,FALSE,"FY95SLS"}</definedName>
    <definedName name="QW">{#N/A,#N/A,FALSE,"ACTIVO - hoja 1";#N/A,#N/A,FALSE,"ACTIVO - hoja 2";#N/A,#N/A,FALSE,"PASIVO - hoja 1";#N/A,#N/A,FALSE,"PASIVO - hoja 2";#N/A,#N/A,FALSE,"GASTOS - hoja 1 ";#N/A,#N/A,FALSE,"GASTOS - hoja 2";#N/A,#N/A,FALSE,"INGRESOS - hoja 1 ";#N/A,#N/A,FALSE,"INGRESOS - hoja 2"}</definedName>
    <definedName name="qwdf">{"Units A",#N/A,FALSE,"FY95SLS";"Units B",#N/A,FALSE,"FY95SLS"}</definedName>
    <definedName name="qwdvs">{"US Dollars",#N/A,TRUE,"PPD";"US Dollar",#N/A,TRUE,"Anaquest";"US Dollar",#N/A,TRUE,"Delta";"US Dollar",#N/A,TRUE,"INO"}</definedName>
    <definedName name="qwef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dfvd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qwer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qwerqer">{#N/A,#N/A,FALSE,"ACH &amp; Subs.- Income Stmt.";#N/A,#N/A,FALSE,"ACH &amp; Subs.- Balance Sheet";#N/A,#N/A,FALSE,"ACH - Investment in Subs.";#N/A,#N/A,FALSE,"ALICC &amp; Subs.- Income Stmt.";#N/A,#N/A,FALSE,"ALICC &amp; Subs.- Balance Sheet";#N/A,#N/A,FALSE,"ALICC - Investment in Subs.";#N/A,#N/A,FALSE,"aliclob"}</definedName>
    <definedName name="qwerrtyu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qwert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qwerty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rdrhd">{"Units A",#N/A,FALSE,"FY95SLS";"Units B",#N/A,FALSE,"FY95SLS"}</definedName>
    <definedName name="Recruitment">{"Page 1",#N/A,TRUE,"Sheet1";"Page 2",#N/A,TRUE,"Sheet1"}</definedName>
    <definedName localSheetId="0" name="RedefinePrintTableRange">[36]!RedefinePrintTableRange</definedName>
    <definedName name="RedefinePrintTableRange">[36]!RedefinePrintTableRange</definedName>
    <definedName name="redo">{#N/A,#N/A,FALSE,"ACQ_GRAPHS";#N/A,#N/A,FALSE,"T_1 GRAPHS";#N/A,#N/A,FALSE,"T_2 GRAPHS";#N/A,#N/A,FALSE,"COMB_GRAPHS"}</definedName>
    <definedName name="redo_1">{#N/A,#N/A,FALSE,"ACQ_GRAPHS";#N/A,#N/A,FALSE,"T_1 GRAPHS";#N/A,#N/A,FALSE,"T_2 GRAPHS";#N/A,#N/A,FALSE,"COMB_GRAPHS"}</definedName>
    <definedName name="redo_2">{#N/A,#N/A,FALSE,"ACQ_GRAPHS";#N/A,#N/A,FALSE,"T_1 GRAPHS";#N/A,#N/A,FALSE,"T_2 GRAPHS";#N/A,#N/A,FALSE,"COMB_GRAPHS"}</definedName>
    <definedName name="redo_3">{#N/A,#N/A,FALSE,"ACQ_GRAPHS";#N/A,#N/A,FALSE,"T_1 GRAPHS";#N/A,#N/A,FALSE,"T_2 GRAPHS";#N/A,#N/A,FALSE,"COMB_GRAPHS"}</definedName>
    <definedName name="redo_4">{#N/A,#N/A,FALSE,"ACQ_GRAPHS";#N/A,#N/A,FALSE,"T_1 GRAPHS";#N/A,#N/A,FALSE,"T_2 GRAPHS";#N/A,#N/A,FALSE,"COMB_GRAPHS"}</definedName>
    <definedName name="redo_5">{#N/A,#N/A,FALSE,"ACQ_GRAPHS";#N/A,#N/A,FALSE,"T_1 GRAPHS";#N/A,#N/A,FALSE,"T_2 GRAPHS";#N/A,#N/A,FALSE,"COMB_GRAPHS"}</definedName>
    <definedName name="regvervgervg">{"Agg Output",#N/A,FALSE,"Operational Drivers Output";"NW Output",#N/A,FALSE,"Operational Drivers Output";"South Output",#N/A,FALSE,"Operational Drivers Output";"Central Output",#N/A,FALSE,"Operational Drivers Output"}</definedName>
    <definedName name="Revised">{#N/A,#N/A,FALSE,"0895";"LOWER PORTION",#N/A,FALSE,"0895"}</definedName>
    <definedName name="Revised_1">{#N/A,#N/A,FALSE,"0895";"LOWER PORTION",#N/A,FALSE,"0895"}</definedName>
    <definedName name="Revised_2">{#N/A,#N/A,FALSE,"0895";"LOWER PORTION",#N/A,FALSE,"0895"}</definedName>
    <definedName name="Revised_3">{#N/A,#N/A,FALSE,"0895";"LOWER PORTION",#N/A,FALSE,"0895"}</definedName>
    <definedName name="Revised_4">{#N/A,#N/A,FALSE,"0895";"LOWER PORTION",#N/A,FALSE,"0895"}</definedName>
    <definedName name="Revised_5">{#N/A,#N/A,FALSE,"0895";"LOWER PORTION",#N/A,FALSE,"0895"}</definedName>
    <definedName name="rfgvbvgsdfb">{#N/A,#N/A,FALSE,"Tar-Ass";#N/A,#N/A,FALSE,"Tar-IS";#N/A,#N/A,FALSE,"Tar-BS";#N/A,#N/A,FALSE,"Tar-Adg BS";#N/A,#N/A,FALSE,"Tar-CF"}</definedName>
    <definedName name="rgbegbver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rhdrh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rhrh">{"Units A",#N/A,FALSE,"FY95SLS";"Units B",#N/A,FALSE,"FY95SLS"}</definedName>
    <definedName name="rhrhr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rhsdrhr">{"Units A",#N/A,FALSE,"FY95SLS";"Units B",#N/A,FALSE,"FY95SLS"}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141516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20000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SwapState">FALSE</definedName>
    <definedName name="RiskUpdateDisplay">FALSE</definedName>
    <definedName name="RiskUseDifferentSeedForEachSim">FALSE</definedName>
    <definedName name="RiskUseFixedSeed">TRUE</definedName>
    <definedName name="RiskUseMultipleCPUs">TRUE</definedName>
    <definedName name="rmc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Rob">{"Pound Sterling",#N/A,TRUE,"PPD";"Pound Sterling",#N/A,TRUE,"Anaquest";"Pound Sterling",#N/A,TRUE,"Delta";"Pound Sterling",#N/A,TRUE,"INO"}</definedName>
    <definedName name="Robert2">{"DCF",#N/A,FALSE,"CF"}</definedName>
    <definedName name="Robert2_1">{"DCF",#N/A,FALSE,"CF"}</definedName>
    <definedName name="Robert2_2">{"DCF",#N/A,FALSE,"CF"}</definedName>
    <definedName name="Robert2_3">{"DCF",#N/A,FALSE,"CF"}</definedName>
    <definedName name="Robert2_4">{"DCF",#N/A,FALSE,"CF"}</definedName>
    <definedName name="Robert2_5">{"DCF",#N/A,FALSE,"CF"}</definedName>
    <definedName name="r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r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tqe">{"Units A",#N/A,FALSE,"FY95SLS";"Units B",#N/A,FALSE,"FY95SLS"}</definedName>
    <definedName name="rtrae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rty">{#N/A,#N/A,FALSE,"ACQ_GRAPHS";#N/A,#N/A,FALSE,"T_1 GRAPHS";#N/A,#N/A,FALSE,"T_2 GRAPHS";#N/A,#N/A,FALSE,"COMB_GRAPHS"}</definedName>
    <definedName name="rwetwertrey">{"Units A",#N/A,FALSE,"FY95SLS";"Units B",#N/A,FALSE,"FY95SLS"}</definedName>
    <definedName name="ryti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rytjktyhjyhjd">{"'Directory'!$A$72:$E$91"}</definedName>
    <definedName name="s">{"'Trades'!$A$120:$F$141"}</definedName>
    <definedName name="saa">41083.7121412037</definedName>
    <definedName name="saasdsf">{#N/A,#N/A,TRUE,"Pivots-Employee";#N/A,"Scenerio2",TRUE,"Assumptions Summary"}</definedName>
    <definedName name="sajt">{"Pound Sterling",#N/A,TRUE,"PPD";"Pound Sterling",#N/A,TRUE,"Anaquest";"Pound Sterling",#N/A,TRUE,"Delta";"Pound Sterling",#N/A,TRUE,"INO"}</definedName>
    <definedName name="SAPBEXdnldView">"3XUCQJQC3XA0NNDXMBYBB6RHR"</definedName>
    <definedName name="SAPBEXhrIndnt">"Wide"</definedName>
    <definedName name="SAPBEXrevision">0</definedName>
    <definedName name="SAPBEXsysID">"P50"</definedName>
    <definedName name="SAPBEXwbID">"4926PXKPPV1V8ADHQXB8NGXCZ"</definedName>
    <definedName name="SAPsysID">"708C5W7SBKP804JT78WJ0JNKI"</definedName>
    <definedName name="SAPwbID">"ARS"</definedName>
    <definedName name="sda">{"histincome",#N/A,FALSE,"hyfins";"closing balance",#N/A,FALSE,"hyfins"}</definedName>
    <definedName name="sdaf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sdaff">{#N/A,#N/A,FALSE,"Combo-Ass ";#N/A,#N/A,FALSE,"Combo-IS";#N/A,#N/A,FALSE,"Combo-BS";#N/A,#N/A,FALSE,"Combo-CF"}</definedName>
    <definedName name="sdaffdsafd">{#N/A,#N/A,FALSE,"Brad_DCFM";#N/A,#N/A,FALSE,"Nick_DCFM";#N/A,#N/A,FALSE,"Mobile_DCFM"}</definedName>
    <definedName name="sdasdaf">{"'Directory'!$A$72:$E$91"}</definedName>
    <definedName name="sddas">{#N/A,#N/A,TRUE,"Mkt Assumptions";#N/A,#N/A,TRUE,"Income_Statement";#N/A,#N/A,TRUE,"Balance_Sheet";#N/A,#N/A,TRUE,"Cash_Flow_Stmt";#N/A,#N/A,TRUE,"Debt_Repayment";#N/A,#N/A,TRUE,"Ratio_Analysis";#N/A,#N/A,TRUE,"Inc_Stmt_Assumptions"}</definedName>
    <definedName name="sddfadf">{"'Directory'!$A$72:$E$91"}</definedName>
    <definedName name="sdf">{#N/A,#N/A,FALSE,"Combo-Ass ";#N/A,#N/A,FALSE,"Combo-IS";#N/A,#N/A,FALSE,"Combo-BS";#N/A,#N/A,FALSE,"Combo-CF"}</definedName>
    <definedName name="sdfasdf">{"histincome",#N/A,FALSE,"hyfins";"closing balance",#N/A,FALSE,"hyfins"}</definedName>
    <definedName name="sdfdfg">{"'Directory'!$A$72:$E$91"}</definedName>
    <definedName name="sdfgdf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sdfgh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sdfgsdf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sdfgsdfg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sdfgsdfgbve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dfgsdfgsdfgs">{"histincome",#N/A,FALSE,"hyfins";"closing balance",#N/A,FALSE,"hyfins"}</definedName>
    <definedName name="sdfgsfd">{"histincome",#N/A,FALSE,"hyfins";"closing balance",#N/A,FALSE,"hyfins"}</definedName>
    <definedName name="sdfh">{"Units A",#N/A,FALSE,"FY95SLS";"Units B",#N/A,FALSE,"FY95SLS"}</definedName>
    <definedName name="sdfha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sdfhb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sdfhbtgbhtr">{"Final",#N/A,FALSE,"Feb-96"}</definedName>
    <definedName name="sdfhdgfhdgfhdgd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dfhdrgh">{"Units A",#N/A,FALSE,"FY95SLS";"Units B",#N/A,FALSE,"FY95SLS"}</definedName>
    <definedName name="sdfhsdfgsdfgsdfg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sdfksfhj">{"Units A",#N/A,FALSE,"FY95SLS";"Units B",#N/A,FALSE,"FY95SLS"}</definedName>
    <definedName name="sdfnjsgh">{"Pound Sterling",#N/A,TRUE,"PPD";"Pound Sterling",#N/A,TRUE,"Anaquest";"Pound Sterling",#N/A,TRUE,"Delta";"Pound Sterling",#N/A,TRUE,"INO"}</definedName>
    <definedName name="sdfr">{"Units A",#N/A,FALSE,"FY95SLS";"Units B",#N/A,FALSE,"FY95SLS"}</definedName>
    <definedName name="sdfs">{"SchG1",#N/A,FALSE,"Schedules";"SchG2",#N/A,FALSE,"Schedules"}</definedName>
    <definedName name="sdgdf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sdgsd">{"Pound Sterling",#N/A,TRUE,"PPD";"Pound Sterling",#N/A,TRUE,"Anaquest";"Pound Sterling",#N/A,TRUE,"Delta";"Pound Sterling",#N/A,TRUE,"INO"}</definedName>
    <definedName name="sdhdhfdfhh">{#N/A,#N/A,FALSE,"Balance Sheet";#N/A,#N/A,FALSE,"Income Statement";#N/A,#N/A,FALSE,"Changes in Financial Position"}</definedName>
    <definedName name="sdhrsh">{"US Dollars",#N/A,TRUE,"PPD";"US Dollar",#N/A,TRUE,"Anaquest";"US Dollar",#N/A,TRUE,"Delta";"US Dollar",#N/A,TRUE,"INO"}</definedName>
    <definedName name="sdrgarger">{"'Directory'!$A$72:$E$91"}</definedName>
    <definedName name="sdrgesrgergsdf">{#N/A,#N/A,TRUE,"Acq-Ass";#N/A,#N/A,TRUE,"Acq-IS";#N/A,#N/A,TRUE,"Acq-BS";#N/A,#N/A,TRUE,"Acq-CF"}</definedName>
    <definedName name="sdsd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ENA">{"SchH1",#N/A,FALSE,"Schedules";"SchH2",#N/A,FALSE,"Schedules"}</definedName>
    <definedName name="sencount">1</definedName>
    <definedName name="Setubal2">{#N/A,#N/A,FALSE,"Producao";#N/A,#N/A,FALSE,"Prov Oper";#N/A,#N/A,FALSE,"Cons e Mg Br";#N/A,#N/A,FALSE,"G Gerais";#N/A,#N/A,FALSE,"Plano_Invest.";#N/A,#N/A,FALSE,"Mapa FM";#N/A,#N/A,FALSE,"DR";#N/A,#N/A,FALSE,"Balanço";#N/A,#N/A,FALSE,"Valor"}</definedName>
    <definedName name="sf">{"'Directory'!$A$72:$E$91"}</definedName>
    <definedName name="sfasd">{"histincome",#N/A,FALSE,"hyfins";"closing balance",#N/A,FALSE,"hyfins"}</definedName>
    <definedName name="sfdas">{#N/A,#N/A,FALSE,"Acq-Val";#N/A,#N/A,FALSE,"Acq-Mult Val"}</definedName>
    <definedName name="sfgdfg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sfghr">{"Pound Sterling",#N/A,TRUE,"PPD";"Pound Sterling",#N/A,TRUE,"Anaquest";"Pound Sterling",#N/A,TRUE,"Delta";"Pound Sterling",#N/A,TRUE,"INO"}</definedName>
    <definedName name="sfgjsk">{"Units A",#N/A,FALSE,"FY95SLS";"Units B",#N/A,FALSE,"FY95SLS"}</definedName>
    <definedName name="sfgns">{"Pound Sterling",#N/A,TRUE,"PPD";"Pound Sterling",#N/A,TRUE,"Anaquest";"Pound Sterling",#N/A,TRUE,"Delta";"Pound Sterling",#N/A,TRUE,"INO"}</definedName>
    <definedName name="sfh">{"Units A",#N/A,FALSE,"FY95SLS";"Units B",#N/A,FALSE,"FY95SLS"}</definedName>
    <definedName name="sfhfbs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sfhsy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sfjjk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sfjksfk">{"Units A",#N/A,FALSE,"FY95SLS";"Units B",#N/A,FALSE,"FY95SLS"}</definedName>
    <definedName name="sfnhgfh">{"Pound Sterling",#N/A,TRUE,"PPD";"Pound Sterling",#N/A,TRUE,"Anaquest";"Pound Sterling",#N/A,TRUE,"Delta";"Pound Sterling",#N/A,TRUE,"INO"}</definedName>
    <definedName name="sfs">{#N/A,#N/A,FALSE,"Aging Summary";#N/A,#N/A,FALSE,"Ratio Analysis";#N/A,#N/A,FALSE,"Test 120 Day Accts";#N/A,#N/A,FALSE,"Tickmarks"}</definedName>
    <definedName name="sgaergwehy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sgegeg">{"Pound Sterling",#N/A,TRUE,"PPD";"Pound Sterling",#N/A,TRUE,"Anaquest";"Pound Sterling",#N/A,TRUE,"Delta";"Pound Sterling",#N/A,TRUE,"INO"}</definedName>
    <definedName name="sgeseg">{"US Dollars",#N/A,TRUE,"PPD";"US Dollar",#N/A,TRUE,"Anaquest";"US Dollar",#N/A,TRUE,"Delta";"US Dollar",#N/A,TRUE,"INO"}</definedName>
    <definedName name="sgherhe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sghser">{"US Dollars",#N/A,TRUE,"PPD";"US Dollar",#N/A,TRUE,"Anaquest";"US Dollar",#N/A,TRUE,"Delta";"US Dollar",#N/A,TRUE,"INO"}</definedName>
    <definedName name="sghsfh">{"Pound Sterling",#N/A,TRUE,"PPD";"Pound Sterling",#N/A,TRUE,"Anaquest";"Pound Sterling",#N/A,TRUE,"Delta";"Pound Sterling",#N/A,TRUE,"INO"}</definedName>
    <definedName name="sgrhtrh">{"Pound Sterling",#N/A,TRUE,"PPD";"Pound Sterling",#N/A,TRUE,"Anaquest";"Pound Sterling",#N/A,TRUE,"Delta";"Pound Sterling",#N/A,TRUE,"INO"}</definedName>
    <definedName name="sgrjsrt">{"Pound Sterling",#N/A,TRUE,"PPD";"Pound Sterling",#N/A,TRUE,"Anaquest";"Pound Sterling",#N/A,TRUE,"Delta";"Pound Sterling",#N/A,TRUE,"INO"}</definedName>
    <definedName name="shdfh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Sheet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Sheet2">{#N/A,#N/A,FALSE,"DISTRIBUTION";#N/A,#N/A,FALSE,"1996 BRAND SUMMARY (2)";#N/A,#N/A,FALSE,"1995 BRAND SUMMARY"}</definedName>
    <definedName name="Sheet3">{"bs combined",#N/A,FALSE,"Consol BS";"PL Combined",#N/A,FALSE,"CONSOL PL";"CF COMBINED",#N/A,FALSE,"CONSOL CF"}</definedName>
    <definedName name="Sheet4">{#N/A,#N/A,FALSE,"1996 BRAND SUMMARY"}</definedName>
    <definedName name="shrh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shrsdh">{"Units A",#N/A,FALSE,"FY95SLS";"Units B",#N/A,FALSE,"FY95SLS"}</definedName>
    <definedName name="shsgr">{"Units A",#N/A,FALSE,"FY95SLS";"Units B",#N/A,FALSE,"FY95SLS"}</definedName>
    <definedName name="shsr">{"Units A",#N/A,FALSE,"FY95SLS";"Units B",#N/A,FALSE,"FY95SLS"}</definedName>
    <definedName name="shwthwh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sjhydjgyjufkf">{"Final",#N/A,FALSE,"Feb-96"}</definedName>
    <definedName name="sjtshgth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sjtsrj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sky">{"Summary analysis",#N/A,FALSE,"Total";"OCPH analysis",#N/A,FALSE,"Total";"detail analysis",#N/A,FALSE,"Total"}</definedName>
    <definedName localSheetId="0" name="solver_adj">[47]DIL4!#REF!</definedName>
    <definedName name="solver_adj">[47]DIL4!#REF!</definedName>
    <definedName name="solver_cvg">0.001</definedName>
    <definedName name="solver_drv">1</definedName>
    <definedName name="solver_est">1</definedName>
    <definedName name="solver_itr">100</definedName>
    <definedName localSheetId="0" name="solver_lhs1">[47]DIL4!#REF!</definedName>
    <definedName name="solver_lhs1">[47]DIL4!#REF!</definedName>
    <definedName name="solver_lin">0</definedName>
    <definedName name="solver_neg">2</definedName>
    <definedName name="solver_num">6</definedName>
    <definedName name="solver_nwt">1</definedName>
    <definedName localSheetId="0" name="solver_opt">[47]DIL4!#REF!</definedName>
    <definedName name="solver_opt">[47]DIL4!#REF!</definedName>
    <definedName name="solver_pre">0.000001</definedName>
    <definedName name="solver_rel1">1</definedName>
    <definedName name="solver_rel2">1</definedName>
    <definedName name="solver_rel3">1</definedName>
    <definedName name="solver_rel4">4</definedName>
    <definedName name="solver_rel5">4</definedName>
    <definedName name="solver_rel6">4</definedName>
    <definedName name="solver_rhs1">15</definedName>
    <definedName name="solver_rhs2">15</definedName>
    <definedName name="solver_rhs3">15</definedName>
    <definedName localSheetId="0" name="solver_rhs4">[48]!Integer</definedName>
    <definedName name="solver_rhs4">[48]!Integer</definedName>
    <definedName localSheetId="0" name="solver_rhs5">[48]!Integer</definedName>
    <definedName name="solver_rhs5">[48]!Integer</definedName>
    <definedName localSheetId="0" name="solver_rhs6">[48]!Integer</definedName>
    <definedName name="solver_rhs6">[48]!Integer</definedName>
    <definedName name="solver_scl">2</definedName>
    <definedName name="solver_sho">2</definedName>
    <definedName name="solver_tim">100</definedName>
    <definedName name="solver_tmp">15</definedName>
    <definedName name="solver_tol">0.05</definedName>
    <definedName name="solver_typ">3</definedName>
    <definedName name="solver_val">90</definedName>
    <definedName name="Spin3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srgserg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srhsr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srthsrthsrth">{#N/A,#N/A,FALSE,"Producao";#N/A,#N/A,FALSE,"Prov Oper";#N/A,#N/A,FALSE,"Cons e Mg Br";#N/A,#N/A,FALSE,"G Gerais";#N/A,#N/A,FALSE,"Plano_Invest.";#N/A,#N/A,FALSE,"Mapa FM";#N/A,#N/A,FALSE,"DR";#N/A,#N/A,FALSE,"Balanço";#N/A,#N/A,FALSE,"Valor"}</definedName>
    <definedName name="sss">{#N/A,#N/A,FALSE,"FON Detail";#N/A,#N/A,FALSE,"FON";#N/A,#N/A,FALSE,"PCS Detail";#N/A,#N/A,FALSE,"PCS";#N/A,#N/A,FALSE,"PCS";#N/A,#N/A,FALSE,"NOL Calc"}</definedName>
    <definedName name="ssss">{"divisions",#N/A,TRUE,"Drivers";"PandL_Ratios",#N/A,TRUE,"P&amp;L"}</definedName>
    <definedName name="ssss_1">{"divisions",#N/A,TRUE,"Drivers";"PandL_Ratios",#N/A,TRUE,"P&amp;L"}</definedName>
    <definedName name="ssss_2">{"divisions",#N/A,TRUE,"Drivers";"PandL_Ratios",#N/A,TRUE,"P&amp;L"}</definedName>
    <definedName name="ssss_3">{"divisions",#N/A,TRUE,"Drivers";"PandL_Ratios",#N/A,TRUE,"P&amp;L"}</definedName>
    <definedName name="ssss_4">{"divisions",#N/A,TRUE,"Drivers";"PandL_Ratios",#N/A,TRUE,"P&amp;L"}</definedName>
    <definedName name="ssss_5">{"divisions",#N/A,TRUE,"Drivers";"PandL_Ratios",#N/A,TRUE,"P&amp;L"}</definedName>
    <definedName name="sssss">{"divisions",#N/A,TRUE,"Drivers";"PandL_Ratios",#N/A,TRUE,"P&amp;L"}</definedName>
    <definedName name="sssss_1">{"divisions",#N/A,TRUE,"Drivers";"PandL_Ratios",#N/A,TRUE,"P&amp;L"}</definedName>
    <definedName name="sssss_2">{"divisions",#N/A,TRUE,"Drivers";"PandL_Ratios",#N/A,TRUE,"P&amp;L"}</definedName>
    <definedName name="sssss_3">{"divisions",#N/A,TRUE,"Drivers";"PandL_Ratios",#N/A,TRUE,"P&amp;L"}</definedName>
    <definedName name="sssss_4">{"divisions",#N/A,TRUE,"Drivers";"PandL_Ratios",#N/A,TRUE,"P&amp;L"}</definedName>
    <definedName name="sssss_5">{"divisions",#N/A,TRUE,"Drivers";"PandL_Ratios",#N/A,TRUE,"P&amp;L"}</definedName>
    <definedName name="sssssss">{#N/A,#N/A,FALSE,"PERSONAL";#N/A,#N/A,FALSE,"explotación";#N/A,#N/A,FALSE,"generales"}</definedName>
    <definedName name="stbhgthnsrt">{#N/A,#N/A,TRUE,"Mkt Assumptions";#N/A,#N/A,TRUE,"Income_Statement";#N/A,#N/A,TRUE,"Balance_Sheet";#N/A,#N/A,TRUE,"Cash_Flow_Stmt";#N/A,#N/A,TRUE,"Debt_Repayment";#N/A,#N/A,TRUE,"Ratio_Analysis";#N/A,#N/A,TRUE,"Inc_Stmt_Assumptions"}</definedName>
    <definedName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rwyu">{"Pound Sterling",#N/A,TRUE,"PPD";"Pound Sterling",#N/A,TRUE,"Anaquest";"Pound Sterling",#N/A,TRUE,"Delta";"Pound Sterling",#N/A,TRUE,"INO"}</definedName>
    <definedName name="stuff">{"TOTAL",#N/A,FALSE,"A";"FISCAL94",#N/A,FALSE,"A";"FISCAL95",#N/A,FALSE,"A";"FISCAL96",#N/A,FALSE,"A";"misc page",#N/A,FALSE,"A"}</definedName>
    <definedName name="SUMM.">{#N/A,#N/A,FALSE,"SUMMARY"}</definedName>
    <definedName name="SUMMARY_BOOK">{"page1",#N/A,FALSE,"GIRLBO";"page2",#N/A,FALSE,"GIRLBO";"page3",#N/A,FALSE,"GIRLBO";"page4",#N/A,FALSE,"GIRLBO";"page5",#N/A,FALSE,"GIRLBO"}</definedName>
    <definedName name="SummaryCapTableFullyDilutedShares">'[42]Summary cap table'!$D$25</definedName>
    <definedName name="summm">{"Units A",#N/A,FALSE,"FY95SLS";"Units B",#N/A,FALSE,"FY95SLS"}</definedName>
    <definedName name="suub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sw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jgtj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swju">{"Pound Sterling",#N/A,TRUE,"PPD";"Pound Sterling",#N/A,TRUE,"Anaquest";"Pound Sterling",#N/A,TRUE,"Delta";"Pound Sterling",#N/A,TRUE,"INO"}</definedName>
    <definedName localSheetId="0" name="Swvu.inputs._.raw._.data.">[31]Input!#REF!</definedName>
    <definedName name="Swvu.inputs._.raw._.data.">[31]Input!#REF!</definedName>
    <definedName name="Swvu.summary1.">[32]Comps!$A$1:$AA$49</definedName>
    <definedName name="Swvu.summary2.">[32]Comps!$A$147:$AA$192</definedName>
    <definedName name="Swvu.summary3.">[32]Comps!$A$103:$AA$146</definedName>
    <definedName name="swyrjryjtr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Systems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">{"test",#N/A,FALSE,"Totaal Overzicht"}</definedName>
    <definedName localSheetId="0" name="Tabla2">'[49]OTHFA-1'!#REF!</definedName>
    <definedName name="Tabla2">'[49]OTHFA-1'!#REF!</definedName>
    <definedName name="Tabla3">{"Sch00",#N/A,FALSE,"1";"Contents",#N/A,FALSE,"1"}</definedName>
    <definedName name="Tabla4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localSheetId="0" name="Table">'[49]OTHFA-1'!#REF!</definedName>
    <definedName name="Table">'[49]OTHFA-1'!#REF!</definedName>
    <definedName name="ted">{"'Proposal Balance Sheet'!$A$268:$L$320"}</definedName>
    <definedName name="tel">{"DCF",#N/A,FALSE,"CF"}</definedName>
    <definedName name="tel_1">{"DCF",#N/A,FALSE,"CF"}</definedName>
    <definedName name="tel_2">{"DCF",#N/A,FALSE,"CF"}</definedName>
    <definedName name="tel_3">{"DCF",#N/A,FALSE,"CF"}</definedName>
    <definedName name="tel_4">{"DCF",#N/A,FALSE,"CF"}</definedName>
    <definedName name="tel_5">{"DCF",#N/A,FALSE,"CF"}</definedName>
    <definedName name="temp">{#N/A,#N/A,FALSE,"Op_Stmt";#N/A,#N/A,FALSE,"Consol_Op_Stmt";#N/A,#N/A,FALSE,"rev_summ";#N/A,#N/A,FALSE,"Unit_Summ";#N/A,#N/A,FALSE,"EBIT_summ";#N/A,#N/A,FALSE,"RONA_NetAssets"}</definedName>
    <definedName name="temp2">{#N/A,#N/A,FALSE,"Op_Stmt";#N/A,#N/A,FALSE,"Consol_Op_Stmt";#N/A,#N/A,FALSE,"rev_summ";#N/A,#N/A,FALSE,"Unit_Summ";#N/A,#N/A,FALSE,"EBIT_summ";#N/A,#N/A,FALSE,"RONA_NetAssets"}</definedName>
    <definedName name="temp3">{#N/A,#N/A,FALSE,"Op_Stmt";#N/A,#N/A,FALSE,"Consol_Op_Stmt";#N/A,#N/A,FALSE,"rev_summ";#N/A,#N/A,FALSE,"Unit_Summ";#N/A,#N/A,FALSE,"EBIT_summ";#N/A,#N/A,FALSE,"RONA_NetAssets"}</definedName>
    <definedName name="TemplateVersion">[37]Reference!$C$4</definedName>
    <definedName name="terghrtjrt">{"Units A",#N/A,FALSE,"FY95SLS";"Units B",#N/A,FALSE,"FY95SLS"}</definedName>
    <definedName name="terywer">{"Pound Sterling",#N/A,TRUE,"PPD";"Pound Sterling",#N/A,TRUE,"Anaquest";"Pound Sterling",#N/A,TRUE,"Delta";"Pound Sterling",#N/A,TRUE,"INO"}</definedName>
    <definedName name="test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2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3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4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5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ing">{"001Blank",#N/A,TRUE,"Blank";"002SSMC_DL_1",#N/A,TRUE,"SSMC(DL's breakout)";"002SSMC_DL_2",#N/A,TRUE,"SSMC(DL's breakout)";"003SSMC_YTD",#N/A,TRUE,"SSMC";"008Fac_CMth",#N/A,TRUE,"Fac";"009Fac_YTD",#N/A,TRUE,"Fac"}</definedName>
    <definedName name="TextRefCopyRangeCount">15</definedName>
    <definedName name="teytr">{#N/A,#N/A,FALSE,"Brad_DCFM";#N/A,#N/A,FALSE,"Nick_DCFM";#N/A,#N/A,FALSE,"Mobile_DCFM"}</definedName>
    <definedName name="tfd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hierry">{"Totax",#N/A,FALSE,"Sheet1";#N/A,#N/A,FALSE,"Law Output"}</definedName>
    <definedName name="thierry_1">{"Totax",#N/A,FALSE,"Sheet1";#N/A,#N/A,FALSE,"Law Output"}</definedName>
    <definedName name="thierry_2">{"Totax",#N/A,FALSE,"Sheet1";#N/A,#N/A,FALSE,"Law Output"}</definedName>
    <definedName name="thierry_3">{"Totax",#N/A,FALSE,"Sheet1";#N/A,#N/A,FALSE,"Law Output"}</definedName>
    <definedName name="thierry_4">{"Totax",#N/A,FALSE,"Sheet1";#N/A,#N/A,FALSE,"Law Output"}</definedName>
    <definedName name="thierry_5">{"Totax",#N/A,FALSE,"Sheet1";#N/A,#N/A,FALSE,"Law Output"}</definedName>
    <definedName name="thj">{#N/A,#N/A,FALSE,"Combo-Ass ";#N/A,#N/A,FALSE,"Combo-IS";#N/A,#N/A,FALSE,"Combo-BS";#N/A,#N/A,FALSE,"Combo-CF"}</definedName>
    <definedName name="thtrhtrh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thwrthw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Time">"b1"</definedName>
    <definedName name="tjd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tjrjtrj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tmp">{#N/A,#N/A,FALSE,"Op_Stmt";#N/A,#N/A,FALSE,"Consol_Op_Stmt";#N/A,#N/A,FALSE,"rev_summ";#N/A,#N/A,FALSE,"Unit_Summ";#N/A,#N/A,FALSE,"EBIT_summ";#N/A,#N/A,FALSE,"RONA_NetAssets"}</definedName>
    <definedName name="tony">{"Summary analysis",#N/A,FALSE,"Total";"OCPH analysis",#N/A,FALSE,"Total";"detail analysis",#N/A,FALSE,"Total"}</definedName>
    <definedName name="tr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Trab">{"'Gastos campañas'!$A$1:$M$53"}</definedName>
    <definedName name="treeList">"11111000000000000000000000000000000000000000000000000000000000000000000000000000000000000000000000000000000000000000000000000000000000000000000000000000000000000000000000000000000000000000000000000000"</definedName>
    <definedName name="trhdthdgjdjkty">{"'Directory'!$A$72:$E$91"}</definedName>
    <definedName name="trhtrhy">{"Units A",#N/A,FALSE,"FY95SLS";"Units B",#N/A,FALSE,"FY95SLS"}</definedName>
    <definedName name="trhy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triyuri">{"Pound Sterling",#N/A,TRUE,"PPD";"Pound Sterling",#N/A,TRUE,"Anaquest";"Pound Sterling",#N/A,TRUE,"Delta";"Pound Sterling",#N/A,TRUE,"INO"}</definedName>
    <definedName name="trjhtrhbtr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trjwjtr">{"Units A",#N/A,FALSE,"FY95SLS";"Units B",#N/A,FALSE,"FY95SLS"}</definedName>
    <definedName name="truhydtrhdrth">{#N/A,#N/A,FALSE,"Brad_DCFM";#N/A,#N/A,FALSE,"Nick_DCFM";#N/A,#N/A,FALSE,"Mobile_DCFM"}</definedName>
    <definedName name="truir">{"Pound Sterling",#N/A,TRUE,"PPD";"Pound Sterling",#N/A,TRUE,"Anaquest";"Pound Sterling",#N/A,TRUE,"Delta";"Pound Sterling",#N/A,TRUE,"INO"}</definedName>
    <definedName name="tryuryuy">{"'Directory'!$A$72:$E$91"}</definedName>
    <definedName name="trywty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TSum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tt">{"001Blank",#N/A,TRUE,"Blank";"002SSMC_DL_1",#N/A,TRUE,"SSMC(DL's breakout)";"002SSMC_DL_2",#N/A,TRUE,"SSMC(DL's breakout)";"003SSMC_YTD",#N/A,TRUE,"SSMC";"008Fac_CMth",#N/A,TRUE,"Fac";"009Fac_YTD",#N/A,TRUE,"Fac"}</definedName>
    <definedName name="ttt">{"Teacher",#N/A,FALSE,"Summary";"Teacher",#N/A,FALSE,"Assumptions";"Teacher",#N/A,FALSE,"Buildup";"Teacher",#N/A,FALSE,"Financials";"Teacher",#N/A,FALSE,"Debt &amp; Other"}</definedName>
    <definedName name="tttt">{"Reader",#N/A,FALSE,"Summary";"Reader",#N/A,FALSE,"Buildup";"Reader",#N/A,FALSE,"Financials";"Reader",#N/A,FALSE,"Debt &amp; Other"}</definedName>
    <definedName name="twergsdf">{"Pound Sterling",#N/A,TRUE,"PPD";"Pound Sterling",#N/A,TRUE,"Anaquest";"Pound Sterling",#N/A,TRUE,"Delta";"Pound Sterling",#N/A,TRUE,"INO"}</definedName>
    <definedName name="ty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ertqergt">{"US Dollars",#N/A,TRUE,"PPD";"US Dollar",#N/A,TRUE,"Anaquest";"US Dollar",#N/A,TRUE,"Delta";"US Dollar",#N/A,TRUE,"INO"}</definedName>
    <definedName name="tyj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Typist">"b1"</definedName>
    <definedName name="tyr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u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eytu">{"Pound Sterling",#N/A,TRUE,"PPD";"Pound Sterling",#N/A,TRUE,"Anaquest";"Pound Sterling",#N/A,TRUE,"Delta";"Pound Sterling",#N/A,TRUE,"INO"}</definedName>
    <definedName name="uidrtyue">{"Units A",#N/A,FALSE,"FY95SLS";"Units B",#N/A,FALSE,"FY95SLS"}</definedName>
    <definedName name="uiryuo">{"US Dollars",#N/A,TRUE,"PPD";"US Dollar",#N/A,TRUE,"Anaquest";"US Dollar",#N/A,TRUE,"Delta";"US Dollar",#N/A,TRUE,"INO"}</definedName>
    <definedName name="uiuriiuyjk">{"Pound Sterling",#N/A,TRUE,"PPD";"Pound Sterling",#N/A,TRUE,"Anaquest";"Pound Sterling",#N/A,TRUE,"Delta";"Pound Sterling",#N/A,TRUE,"INO"}</definedName>
    <definedName name="uiuyo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ukdkghj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ukyukluy">{"Pound Sterling",#N/A,TRUE,"PPD";"Pound Sterling",#N/A,TRUE,"Anaquest";"Pound Sterling",#N/A,TRUE,"Delta";"Pound Sterling",#N/A,TRUE,"INO"}</definedName>
    <definedName name="uoroy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URGENT">{#N/A,#N/A,FALSE,"AHF"}</definedName>
    <definedName name="uu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yirui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uyr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v">{#N/A,#N/A,FALSE,"CRDOS";#N/A,#N/A,FALSE,"CBALANCE";#N/A,#N/A,FALSE,"CPR97-1";#N/A,#N/A,FALSE,"CPR98-7 ";#N/A,#N/A,FALSE,"RATIOS";#N/A,#N/A,FALSE,"VENTAS (1)"}</definedName>
    <definedName name="vbadfga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vhvhvhvhvhvh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VIR">{#N/A,#N/A,FALSE,"ACQ_GRAPHS";#N/A,#N/A,FALSE,"T_1 GRAPHS";#N/A,#N/A,FALSE,"T_2 GRAPHS";#N/A,#N/A,FALSE,"COMB_GRAPHS"}</definedName>
    <definedName name="virus?">{#N/A,#N/A,FALSE,"Market Share";#N/A,#N/A,FALSE,"dcf";#N/A,#N/A,FALSE,"Base"}</definedName>
    <definedName name="Virus2">{#N/A,#N/A,FALSE,"Market Share";#N/A,#N/A,FALSE,"dcf";#N/A,#N/A,FALSE,"Base"}</definedName>
    <definedName name="virus3">{#N/A,#N/A,FALSE,"Market Share";#N/A,#N/A,FALSE,"dcf";#N/A,#N/A,FALSE,"Base"}</definedName>
    <definedName name="virus4">{#N/A,#N/A,FALSE,"Market Share";#N/A,#N/A,FALSE,"dcf";#N/A,#N/A,FALSE,"Base"}</definedName>
    <definedName name="virus5">{#N/A,#N/A,FALSE,"Market Share";#N/A,#N/A,FALSE,"dcf";#N/A,#N/A,FALSE,"Base"}</definedName>
    <definedName name="virus6">{#N/A,#N/A,FALSE,"Market Share";#N/A,#N/A,FALSE,"dcf";#N/A,#N/A,FALSE,"Base"}</definedName>
    <definedName name="vqefge">{"Units A",#N/A,FALSE,"FY95SLS";"Units B",#N/A,FALSE,"FY95SLS"}</definedName>
    <definedName name="vv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">{"test",#N/A,FALSE,"Totaal Overzicht"}</definedName>
    <definedName name="w45ty45t54">{"'Directory'!$A$72:$E$91"}</definedName>
    <definedName name="w45yu45hyh">{#N/A,#N/A,TRUE,"Acq-Ass";#N/A,#N/A,TRUE,"Acq-IS";#N/A,#N/A,TRUE,"Acq-BS";#N/A,#N/A,TRUE,"Acq-CF"}</definedName>
    <definedName name="wacc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n">{"COMBINED",#N/A,FALSE,"BALANCE SHEET 2";"KRONE",#N/A,FALSE,"BALANCE SHEET 2";"INTERSYSTEMS",#N/A,FALSE,"BALANCE SHEET 2"}</definedName>
    <definedName name="WEE">{#N/A,#N/A,FALSE,"SUMMARY"}</definedName>
    <definedName name="wef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d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gji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wei.units">{"Units A",#N/A,FALSE,"FY95SLS";"Units B",#N/A,FALSE,"FY95SLS"}</definedName>
    <definedName name="wendy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weqwe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r">{"Pound Sterling",#N/A,TRUE,"PPD";"Pound Sterling",#N/A,TRUE,"Anaquest";"Pound Sterling",#N/A,TRUE,"Delta";"Pound Sterling",#N/A,TRUE,"INO"}</definedName>
    <definedName name="werqwerq">{"histincome",#N/A,FALSE,"hyfins";"closing balance",#N/A,FALSE,"hyfins"}</definedName>
    <definedName name="werwe">{"SchF1",#N/A,FALSE,"Schedules";"SchF2",#N/A,FALSE,"Schedules"}</definedName>
    <definedName name="wetqey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localSheetId="0" name="wetusyrkijery">#REF!,#REF!,#REF!,#REF!,#REF!,#REF!,#REF!,#REF!,#REF!,#REF!,#REF!,#REF!,#REF!,#REF!,#REF!,#REF!,#REF!,#REF!,#REF!,#REF!,#REF!,#REF!,#REF!,#REF!,#REF!,#REF!,#REF!,#REF!,#REF!,#REF!,#REF!</definedName>
    <definedName name="wetusyrkijery">#REF!,#REF!,#REF!,#REF!,#REF!,#REF!,#REF!,#REF!,#REF!,#REF!,#REF!,#REF!,#REF!,#REF!,#REF!,#REF!,#REF!,#REF!,#REF!,#REF!,#REF!,#REF!,#REF!,#REF!,#REF!,#REF!,#REF!,#REF!,#REF!,#REF!,#REF!</definedName>
    <definedName name="what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hatisthis">{#N/A,#N/A,FALSE,"Summary";#N/A,#N/A,FALSE,"Projections";#N/A,#N/A,FALSE,"Mkt Mults";#N/A,#N/A,FALSE,"DCF";#N/A,#N/A,FALSE,"Accr Dil";#N/A,#N/A,FALSE,"PIC LBO";#N/A,#N/A,FALSE,"MULT10_4";#N/A,#N/A,FALSE,"CBI LBO"}</definedName>
    <definedName name="whatisthissss">{#N/A,#N/A,FALSE,"IPO";#N/A,#N/A,FALSE,"DCF";#N/A,#N/A,FALSE,"LBO";#N/A,#N/A,FALSE,"MULT_VAL";#N/A,#N/A,FALSE,"Status Quo";#N/A,#N/A,FALSE,"Recap"}</definedName>
    <definedName name="whatisthisssss">{#N/A,#N/A,FALSE,"Summary";#N/A,#N/A,FALSE,"Projections";#N/A,#N/A,FALSE,"Mkt Mults";#N/A,#N/A,FALSE,"DCF";#N/A,#N/A,FALSE,"Accr Dil";#N/A,#N/A,FALSE,"PIC LBO";#N/A,#N/A,FALSE,"MULT10_4";#N/A,#N/A,FALSE,"CBI LBO"}</definedName>
    <definedName name="wjtrujtr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wnr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WORKING">{#N/A,#N/A,FALSE,"Proj Cost";#N/A,#N/A,FALSE,"Fair Scenario";#N/A,#N/A,FALSE,"Wonderful Scenario";#N/A,#N/A,FALSE,"Awful Scenario"}</definedName>
    <definedName name="wrgerger">{#N/A,#N/A,TRUE,"Pivots-Employee";#N/A,"Scenario1",TRUE,"Assumptions Summary"}</definedName>
    <definedName name="wrgr53gt3gtv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">{#N/A,#N/A,TRUE,"Cover sheet";#N/A,#N/A,TRUE,"F.S.";#N/A,#N/A,TRUE,"Macroecon.";#N/A,#N/A,TRUE,"Microeconomics";#N/A,#N/A,TRUE,"Revenues";#N/A,#N/A,TRUE,"COS-supporting";#N/A,#N/A,TRUE,"op. costs-details";#N/A,#N/A,TRUE,"COS";#N/A,#N/A,TRUE,"Other costs-supporting";#N/A,#N/A,TRUE,"Other costs";#N/A,#N/A,TRUE,"Other income&amp;expense";#N/A,#N/A,TRUE,"Capex-supporting";#N/A,#N/A,TRUE,"Capital ex.";#N/A,#N/A,TRUE,"Financing";#N/A,#N/A,TRUE,"Equity";#N/A,#N/A,TRUE,"Corporate taxation";#N/A,#N/A,TRUE,"current A.&amp;L."}</definedName>
    <definedName name="wrn.01PLAN_DEPT_REPORT.">{"P01SSMC",#N/A,TRUE,"SSMC";"PDL'S_BREAKOUT",#N/A,TRUE,"SSMC(DL's breakout)";"P02GEN",#N/A,TRUE,"GEN";"P03MGT",#N/A,TRUE,"Mgt";"P04FAC",#N/A,TRUE,"Fac";"P05QLY",#N/A,TRUE,"Qly";"P06F&amp;A",#N/A,TRUE,"F&amp;A";"P07SPCS",#N/A,TRUE,"SPCS";"P08HR",#N/A,TRUE,"HR";"P09PURCH",#N/A,TRUE,"Purch";"P10LOG",#N/A,TRUE,"Log";"P11OPN",#N/A,TRUE,"OPN";"P12TECH",#N/A,TRUE,"TECH"}</definedName>
    <definedName name="wrn.02CFO_Report.">{"001Blank",#N/A,TRUE,"Blank";"02SSMC_mb1",#N/A,TRUE,"SSMC(DL's breakout)";"Div",#N/A,TRUE,"Div";"002SSMC_mb2",#N/A,TRUE,"SSMC(DL's breakout)";"003SSMC_YTD",#N/A,TRUE,"SSMC";"004GEN_CMth",#N/A,TRUE,"GEN";"005GEN_YTD",#N/A,TRUE,"GEN";"006Mgt_CMth",#N/A,TRUE,"Mgt";"007Mgt_YTD",#N/A,TRUE,"Mgt";"008Fac_CMth",#N/A,TRUE,"Fac";"009Fac_YTD",#N/A,TRUE,"Fac";"010Qly_CMth",#N/A,TRUE,"Qly";"011Qly_YTD",#N/A,TRUE,"Qly";"012F&amp;A_CMth",#N/A,TRUE,"F&amp;A";"013F&amp;A_YTD",#N/A,TRUE,"F&amp;A";"014SPCS2_CMth",#N/A,TRUE,"SPCS";"015SPCS_YTD",#N/A,TRUE,"SPCS";"016HR_CMth",#N/A,TRUE,"HR";"017HR_YTD",#N/A,TRUE,"HR";"018Purchasing_CMth",#N/A,TRUE,"Purchasing";"019Purchasing_YTD",#N/A,TRUE,"Purchasing";"020Log_CMth",#N/A,TRUE,"Log";"021Log_YTD",#N/A,TRUE,"Log";"022Opn_CMth",#N/A,TRUE,"OPN";"023Opn_YTD",#N/A,TRUE,"OPN";"024TECH_CMth",#N/A,TRUE,"TECH";"025TECH_YTD",#N/A,TRUE,"TECH"}</definedName>
    <definedName name="wrn.03All._.Reports.">{"001Blank",#N/A,TRUE,"Blank";"002SSMC_DL_1",#N/A,TRUE,"SSMC(DL's breakout)";"Div",#N/A,TRUE,"Div";"002SSMC_DL_2",#N/A,TRUE,"SSMC(DL's breakout)";"003SSMC_YTD",#N/A,TRUE,"SSMC";"004GEN_CMth",#N/A,TRUE,"GEN";"005GEN_YTD",#N/A,TRUE,"GEN";"006Mgt_CMth",#N/A,TRUE,"Mgt";"007Mgt_YTD",#N/A,TRUE,"Mgt";"008Fac_CMth",#N/A,TRUE,"Fac";"009Fac_YTD",#N/A,TRUE,"Fac";"010Qly_CMth",#N/A,TRUE,"Qly";"011Qly_YTD",#N/A,TRUE,"Qly";"012F&amp;A_CMth",#N/A,TRUE,"F&amp;A";"013F&amp;A_YTD",#N/A,TRUE,"F&amp;A";"014SPCS2_CMth",#N/A,TRUE,"SPCS";"015SPCS_YTD",#N/A,TRUE,"SPCS";"016HR_CMth",#N/A,TRUE,"HR";"017HR_YTD",#N/A,TRUE,"HR";"018Purchasing_CMth",#N/A,TRUE,"Purchasing";"019Purchasing_YTD",#N/A,TRUE,"Purchasing";"020Log_CMth",#N/A,TRUE,"Log";"021Log_YTD",#N/A,TRUE,"Log";"022Opn_CMth",#N/A,TRUE,"OPN";"023Opn_YTD",#N/A,TRUE,"OPN";"024TECH_CMth",#N/A,TRUE,"TECH";"025TECH_YTD",#N/A,TRUE,"TECH"}</definedName>
    <definedName name="wrn.04FACILITIES.">{"001Blank",#N/A,TRUE,"Blank";"002SSMC_DL_1",#N/A,TRUE,"SSMC(DL's breakout)";"002SSMC_DL_2",#N/A,TRUE,"SSMC(DL's breakout)";"003SSMC_YTD",#N/A,TRUE,"SSMC";"008Fac_CMth",#N/A,TRUE,"Fac";"009Fac_YTD",#N/A,TRUE,"Fac"}</definedName>
    <definedName name="wrn.05QUALITY.">{"001Blank",#N/A,TRUE,"Blank";"002SSMC_DL_1",#N/A,TRUE,"SSMC(DL's breakout)";"002SSMC_DL_2",#N/A,TRUE,"SSMC(DL's breakout)";"003SSMC_YTD",#N/A,TRUE,"SSMC";"010Qly_CMth",#N/A,TRUE,"Qly";"011Qly_YTD",#N/A,TRUE,"Qly"}</definedName>
    <definedName name="wrn.06SPCS.">{"001Blank",#N/A,TRUE,"Blank";"002SSMC_DL_1",#N/A,TRUE,"SSMC(DL's breakout)";"002SSMC_DL_2",#N/A,TRUE,"SSMC(DL's breakout)";"003SSMC_YTD",#N/A,TRUE,"SSMC";"014SPCS2_CMth",#N/A,TRUE,"SPCS";"015SPCS_YTD",#N/A,TRUE,"SPCS";"016HR_CMth",#N/A,TRUE,"HR";"017HR_YTD",#N/A,TRUE,"HR";"018Purchasing_CMth",#N/A,TRUE,"Purchasing";"019Purchasing_YTD",#N/A,TRUE,"Purchasing";"020Log_CMth",#N/A,TRUE,"Log";"021Log_YTD",#N/A,TRUE,"Log"}</definedName>
    <definedName name="wrn.07OPERATIONS.">{"001Blank",#N/A,TRUE,"Blank";"002SSMC_DL_1",#N/A,TRUE,"SSMC(DL's breakout)";"002SSMC_DL_2",#N/A,TRUE,"SSMC(DL's breakout)";"003SSMC_YTD",#N/A,TRUE,"SSMC";"022Opn_CMth",#N/A,TRUE,"OPN";"023Opn_YTD",#N/A,TRUE,"OPN"}</definedName>
    <definedName name="wrn.08TECHNOLOGY.">{"001Blank",#N/A,TRUE,"Blank";"002SSMC_DL_1",#N/A,TRUE,"SSMC(DL's breakout)";"002SSMC_DL_2",#N/A,TRUE,"SSMC(DL's breakout)";"003SSMC_YTD",#N/A,TRUE,"SSMC";"024TECH_CMth",#N/A,TRUE,"TECH";"025TECH_YTD",#N/A,TRUE,"TECH"}</definedName>
    <definedName name="wrn.1996._.BUDGET.">{"SUMMARY",#N/A,TRUE,"SUMMARY";"compare",#N/A,TRUE,"Vs. Bus Plan";"ratios",#N/A,TRUE,"Ratios";"REVENUE",#N/A,TRUE,"Revenue";"expenses",#N/A,TRUE,"1996 budget";"payroll",#N/A,TRUE,"Payroll"}</definedName>
    <definedName name="wrn.1996._.BUDGET.1">{"SUMMARY",#N/A,TRUE,"SUMMARY";"compare",#N/A,TRUE,"Vs. Bus Plan";"ratios",#N/A,TRUE,"Ratios";"REVENUE",#N/A,TRUE,"Revenue";"expenses",#N/A,TRUE,"1996 budget";"payroll",#N/A,TRUE,"Payroll"}</definedName>
    <definedName name="wrn.1996._.TO._.2004.">{"ten year ratios",#N/A,TRUE,"PROFIT_LOSS";"ten year ratios",#N/A,TRUE,"Ratios";"ten yr opex and capex",#N/A,TRUE,"1996 budget";"ten year revenues",#N/A,TRUE,"Revenue_1996-2004";"ten year payroll",#N/A,TRUE,"Payroll"}</definedName>
    <definedName name="wrn.1999._.Covenant.">{#N/A,#N/A,FALSE,"Cash Flow"}</definedName>
    <definedName name="wrn.2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2._.pagers.">{"Cover",#N/A,FALSE,"Cover";"Summary",#N/A,FALSE,"Summarpage"}</definedName>
    <definedName name="wrn.2000._.Covnenats.">{#N/A,#N/A,FALSE,"Cash Flow"}</definedName>
    <definedName name="wrn.97PLNS2.XLS.">{#N/A,#N/A,TRUE,"97plnfpg"}</definedName>
    <definedName name="wrn.A.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>{#N/A,#N/A,FALSE,"A_D";#N/A,#N/A,FALSE,"WACC";#N/A,#N/A,FALSE,"DCF";#N/A,#N/A,FALSE,"A";#N/A,#N/A,FALSE,"LBO";#N/A,#N/A,FALSE,"C";#N/A,#N/A,FALSE,"impd";#N/A,#N/A,FALSE,"comps"}</definedName>
    <definedName name="wrn.Accounts.">{"turnover",#N/A,FALSE;"profits",#N/A,FALSE;"cash",#N/A,FALSE}</definedName>
    <definedName name="wrn.Accr_Dil.">{#N/A,#N/A,FALSE,"Debt Accr";#N/A,#N/A,FALSE,"Stock Accr";#N/A,#N/A,FALSE,"Debt Stock Accr"}</definedName>
    <definedName name="wrn.ACK.">{"Annual",#N/A,FALSE,"ACK";"Margins",#N/A,FALSE,"ACK";"Q",#N/A,FALSE,"QTRS."}</definedName>
    <definedName name="wrn.AcqState.">{#N/A,#N/A,TRUE,"Acq-Ass";#N/A,#N/A,TRUE,"Acq-IS";#N/A,#N/A,TRUE,"Acq-BS";#N/A,#N/A,TRUE,"Acq-CF"}</definedName>
    <definedName name="wrn.Acquiror.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Val.">{#N/A,#N/A,FALSE,"Acq-Val";#N/A,#N/A,FALSE,"Acq-Mult Val"}</definedName>
    <definedName name="wrn.actual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wrn.actual_2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wrn.admin.">{#N/A,#N/A,FALSE,"ADM";#N/A,#N/A,FALSE,"office supplies";#N/A,#N/A,FALSE,"sundry matls";#N/A,#N/A,FALSE,"info tech";#N/A,#N/A,FALSE,"m&amp;r office eqpt";#N/A,#N/A,FALSE,"real prop.";#N/A,#N/A,FALSE,"safety"}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ing._.and._.Trend._.Analysis._2">{#N/A,#N/A,FALSE,"Aging Summary";#N/A,#N/A,FALSE,"Ratio Analysis";#N/A,#N/A,FALSE,"Test 120 Day Accts";#N/A,#N/A,FALSE,"Tickmarks"}</definedName>
    <definedName name="wrn.Aging._.and._.Trend._.Analysis._3">{#N/A,#N/A,FALSE,"Aging Summary";#N/A,#N/A,FALSE,"Ratio Analysis";#N/A,#N/A,FALSE,"Test 120 Day Accts";#N/A,#N/A,FALSE,"Tickmarks"}</definedName>
    <definedName name="wrn.Aging._.and._.Trend._.Analysis._4">{#N/A,#N/A,FALSE,"Aging Summary";#N/A,#N/A,FALSE,"Ratio Analysis";#N/A,#N/A,FALSE,"Test 120 Day Accts";#N/A,#N/A,FALSE,"Tickmarks"}</definedName>
    <definedName name="wrn.Aging._.and._.Trend._.Analysis._5">{#N/A,#N/A,FALSE,"Aging Summary";#N/A,#N/A,FALSE,"Ratio Analysis";#N/A,#N/A,FALSE,"Test 120 Day Accts";#N/A,#N/A,FALSE,"Tickmarks"}</definedName>
    <definedName name="wrn.ahfstep.">{#N/A,#N/A,TRUE,"AHFSTEP"}</definedName>
    <definedName name="wrn.AHFYLD.">{#N/A,#N/A,FALSE,"AHF"}</definedName>
    <definedName name="wrn.Alex.">{#N/A,#N/A,FALSE,"TradeSumm";#N/A,#N/A,FALSE,"StatsSumm"}</definedName>
    <definedName name="wrn.all.">{"cf",#N/A,FALSE,"Annual";"is",#N/A,FALSE,"Annual";"geo",#N/A,FALSE,"Annual";"jwt",#N/A,FALSE,"Annual";"om",#N/A,FALSE,"Annual";"other",#N/A,FALSE,"Annual";"omcontd",#N/A,FALSE,"Annual"}</definedName>
    <definedName name="wrn.All._.Financials.">{#N/A,#N/A,TRUE,"Assumptions";#N/A,#N/A,TRUE,"Op Projection";#N/A,#N/A,TRUE,"Capital";#N/A,#N/A,TRUE,"Income";#N/A,#N/A,TRUE,"Balance";#N/A,#N/A,TRUE,"Sources&amp;Uses"}</definedName>
    <definedName name="wrn.all._.gulp._.sheets.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Locations.">{#N/A,#N/A,FALSE,"Asia";#N/A,#N/A,FALSE,"Moralco";#N/A,#N/A,FALSE,"AKL";#N/A,#N/A,FALSE,"Australia";#N/A,#N/A,FALSE,"Qingdao";#N/A,#N/A,FALSE,"Falta"}</definedName>
    <definedName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2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3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4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5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rint.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Reports.">{"DL's_Breakout",#N/A,TRUE,"SSMC(DL's breakout)";"02SSMC_YTD",#N/A,TRUE,"SSMC";"03GEN_CMth",#N/A,TRUE,"GEN";"04GEN_YTD",#N/A,TRUE,"GEN";"05Mgt_CMth",#N/A,TRUE,"Mgt";"06Mgt_YTD",#N/A,TRUE,"Mgt";"07Fac_CMth",#N/A,TRUE,"Fac";"08Fac_YTD",#N/A,TRUE,"Fac";"09Qly_CMth",#N/A,TRUE,"Qly";"10Qly_YTD",#N/A,TRUE,"Qly";"11F&amp;A_CMth",#N/A,TRUE,"F&amp;A";"12F&amp;A_YTD",#N/A,TRUE,"F&amp;A";"13SPCS_CMth",#N/A,TRUE,"SPCS";"14SPCS_YTD",#N/A,TRUE,"SPCS";"15HR_CMth",#N/A,TRUE,"HR";"16HR_YTD",#N/A,TRUE,"HR";"17Purch_CMth",#N/A,TRUE,"Purch";"18Purch_YTD",#N/A,TRUE,"Purch";"19Log_CMth",#N/A,TRUE,"Log";"20Log_YTD",#N/A,TRUE,"Log";"21OPN_CMth",#N/A,TRUE,"OPN";"22OPN_YTD",#N/A,TRUE,"OPN";"23TECH_CMth",#N/A,TRUE,"TECH";"24TECH_YTD",#N/A,TRUE,"TECH"}</definedName>
    <definedName name="wrn.ALL._.SHEETS.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tock_10_12_14.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Worksheets.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>{#N/A,#N/A,FALSE,"Summary";#N/A,#N/A,FALSE,"Projections";#N/A,#N/A,FALSE,"Mkt Mults";#N/A,#N/A,FALSE,"DCF";#N/A,#N/A,FALSE,"Accr Dil";#N/A,#N/A,FALSE,"PIC LBO";#N/A,#N/A,FALSE,"MULT10_4";#N/A,#N/A,FALSE,"CBI LBO"}</definedName>
    <definedName name="wrn.All_Sheets.">{#N/A,#N/A,FALSE,"Projections";#N/A,#N/A,FALSE,"Contribution_Stock";#N/A,#N/A,FALSE,"PF_Combo_Stock";#N/A,#N/A,FALSE,"Projections";#N/A,#N/A,FALSE,"Contribution_Cash";#N/A,#N/A,FALSE,"PF_Combo_Cash";#N/A,#N/A,FALSE,"IPO_Cash"}</definedName>
    <definedName name="wrn.ALL4">{#N/A,#N/A,FALSE,"ASSUMPTIONS";#N/A,#N/A,FALSE,"Valuation Summary";"page1",#N/A,FALSE,"PRESENTATION";"page2",#N/A,FALSE,"PRESENTATION";#N/A,#N/A,FALSE,"ORIGINAL_ROLLBACK"}</definedName>
    <definedName name="wrn.ALL5">{#N/A,#N/A,FALSE,"ASSUMPTIONS";#N/A,#N/A,FALSE,"Valuation Summary";"page1",#N/A,FALSE,"PRESENTATION";"page2",#N/A,FALSE,"PRESENTATION";#N/A,#N/A,FALSE,"ORIGINAL_ROLLBACK"}</definedName>
    <definedName name="wrn.ALL6">{#N/A,#N/A,FALSE,"ASSUMPTIONS";#N/A,#N/A,FALSE,"Valuation Summary";"page1",#N/A,FALSE,"PRESENTATION";"page2",#N/A,FALSE,"PRESENTATION";#N/A,#N/A,FALSE,"ORIGINAL_ROLLBACK"}</definedName>
    <definedName name="wrn.ALL8">{#N/A,#N/A,FALSE,"ASSUMPTIONS";#N/A,#N/A,FALSE,"Valuation Summary";"page1",#N/A,FALSE,"PRESENTATION";"page2",#N/A,FALSE,"PRESENTATION";#N/A,#N/A,FALSE,"ORIGINAL_ROLLBACK"}</definedName>
    <definedName name="wrn.ALL94.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rn.ALLbutPREMIUM.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>{#N/A,#N/A,FALSE,"Balance Sheet";#N/A,#N/A,FALSE,"Income Statement";#N/A,#N/A,FALSE,"Changes in Financial Position"}</definedName>
    <definedName name="wrn.AllModels.">{#N/A,#N/A,FALSE,"AD_Purchase";#N/A,#N/A,FALSE,"Credit";#N/A,#N/A,FALSE,"PF Acquisition";#N/A,#N/A,FALSE,"PF Offering"}</definedName>
    <definedName name="wrn.allpages.">{#N/A,#N/A,TRUE,"Historicals";#N/A,#N/A,TRUE,"Charts";#N/A,#N/A,TRUE,"Forecasts"}</definedName>
    <definedName name="wrn.ANALISIS._.SENSIBILIDAD.">{#N/A,#N/A,FALSE,"BALANCE";#N/A,#N/A,FALSE,"CUENTA DE PYG";#N/A,#N/A,FALSE,"RATIOS"}</definedName>
    <definedName name="wrn.annual.">{"Annual Income",#N/A,FALSE,"ANF"}</definedName>
    <definedName name="wrn.Annual._.Operating._.Earnings.">{"Annual 1996",#N/A,FALSE,"Ann-Op (Mng)";"Annual 1996",#N/A,FALSE,"Ann-Op (Rep)";"Operating Vs. Reported Earnings",#N/A,FALSE,"Rpt-Op Inc"}</definedName>
    <definedName name="wrn.Annual._.Operating._.Earnings1.">{"Annual 1996",#N/A,FALSE,"Ann-Op (Mng)";"Annual 1996",#N/A,FALSE,"Ann-Op (Rep)";"Operating Vs. Reported Earnings",#N/A,FALSE,"Rpt-Op Inc"}</definedName>
    <definedName name="wrn.Appendix.">{#N/A,#N/A,TRUE,"Lines";#N/A,#N/A,TRUE,"Stations";#N/A,#N/A,TRUE,"Cap. Expenses";#N/A,#N/A,TRUE,"Land";#N/A,#N/A,TRUE,"Cen Proces Sys";#N/A,#N/A,TRUE,"telecom";#N/A,#N/A,TRUE,"Other"}</definedName>
    <definedName name="WRN.ARCCYLD2003">{#N/A,#N/A,FALSE,"ARCYLD"}</definedName>
    <definedName name="wrn.ARCSTEP.">{#N/A,#N/A,FALSE,"ARCSTEP"}</definedName>
    <definedName name="wrn.ARCYLD.">{#N/A,#N/A,FALSE,"ARCYLD"}</definedName>
    <definedName name="wrn.BALANCE._.SHEET.">{#N/A,#N/A,FALSE,"Fin Statements"}</definedName>
    <definedName name="wrn.Bank.">{"OPL1",#N/A,FALSE,"PL";"OpAnal",#N/A,FALSE,"Op";"BS2",#N/A,FALSE,"BS";"CF1(a)",#N/A,FALSE,"Op"}</definedName>
    <definedName name="wrn.Bank._.Group.">{#N/A,#N/A,FALSE,"Bank Group";#N/A,#N/A,FALSE,"ntl (UK) Group";#N/A,#N/A,FALSE,"ntl Business Ltd";#N/A,#N/A,FALSE,"Consumer Co";#N/A,#N/A,FALSE,"Scanners";#N/A,#N/A,FALSE,"Xtant inc Moleseye";#N/A,#N/A,FALSE,"Bank Facilities"}</definedName>
    <definedName name="wrn.Basic.">{#N/A,#N/A,FALSE,"Cover";#N/A,#N/A,FALSE,"Assumptions";#N/A,#N/A,FALSE,"Acquirer";#N/A,#N/A,FALSE,"Target";#N/A,#N/A,FALSE,"Income Statement";#N/A,#N/A,FALSE,"Summary Tables"}</definedName>
    <definedName name="wrn.Basic._.Report.">{#N/A,#N/A,FALSE,"New Depr Sch-150% DB";#N/A,#N/A,FALSE,"Cash Flows RLP";#N/A,#N/A,FALSE,"IRR";#N/A,#N/A,FALSE,"Proforma IS";#N/A,#N/A,FALSE,"Assumptions"}</definedName>
    <definedName name="wrn.basics.">{#N/A,#N/A,FALSE,"TSUM";#N/A,#N/A,FALSE,"shares";#N/A,#N/A,FALSE,"earnout";#N/A,#N/A,FALSE,"Heaty";#N/A,#N/A,FALSE,"self-tend";#N/A,#N/A,FALSE,"self-sum"}</definedName>
    <definedName name="wrn.BBCert.">{#N/A,#N/A,FALSE,"BBCert";#N/A,#N/A,FALSE,"Ineligible Summ";#N/A,#N/A,FALSE,"Ineligible Detail"}</definedName>
    <definedName name="wrn.Bermuda.">{#N/A,#N/A,FALSE,"Summary";#N/A,#N/A,FALSE,"Tempest Summ";#N/A,#N/A,FALSE,"XL";#N/A,#N/A,FALSE,"ACE_CAT";#N/A,#N/A,FALSE,"GCR"}</definedName>
    <definedName name="wrn.Bewegungsbilanz.">{#N/A,#N/A,FALSE,"Mittelherkunft";#N/A,#N/A,FALSE,"Mittelverwendung"}</definedName>
    <definedName name="wrn.BidCo.">{#N/A,#N/A,FALSE,"BidCo Assumptions";#N/A,#N/A,FALSE,"Credit Stats";#N/A,#N/A,FALSE,"Bidco Summary";#N/A,#N/A,FALSE,"BIDCO Consolidated"}</definedName>
    <definedName name="wrn.Bilanz.">{#N/A,#N/A,FALSE,"Layout Aktiva";#N/A,#N/A,FALSE,"Layout Passiva"}</definedName>
    <definedName name="wrn.BoD._.Report.">{#N/A,#N/A,FALSE,"IS 1 &amp; 2 Bank";#N/A,#N/A,FALSE,"BoD Bal Summ";#N/A,#N/A,FALSE,"Cash Flow";#N/A,#N/A,FALSE,"ComparativePL_Bank";#N/A,#N/A,FALSE,"Days Out"}</definedName>
    <definedName name="wrn.Book._.Estimate.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wrn.BP._.print.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s.com.">{#N/A,#N/A,FALSE,"Summary (A)";#N/A,#N/A,FALSE,"DCF (B-1)";#N/A,#N/A,FALSE,"WACC (B-2)";#N/A,#N/A,FALSE,"Web Comps (B-3)";#N/A,#N/A,FALSE,"Web Approach (C-1)";#N/A,#N/A,FALSE,"Recnt Trans (D)";#N/A,#N/A,FALSE,"Inc. Stmt Scen 1(E-1,E-2)";#N/A,#N/A,FALSE,"Fixed Assets (E-3)";#N/A,#N/A,FALSE,"Venture Cap (F)";#N/A,#N/A,FALSE,"Control (G)"}</definedName>
    <definedName name="wrn.Budget.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wrn.Budget._.Package.">{#N/A,#N/A,FALSE,"Comparison";#N/A,#N/A,FALSE,"Income Statement";#N/A,#N/A,FALSE,"Balance Sheet";#N/A,#N/A,FALSE,"Cash Flow";#N/A,#N/A,FALSE,"Material &amp; Labor";#N/A,#N/A,FALSE,"Operating OH"}</definedName>
    <definedName name="wrn.bullshit1.">{#N/A,#N/A,FALSE,"Sheet1";#N/A,#N/A,FALSE,"Summary";#N/A,#N/A,FALSE,"proj1";#N/A,#N/A,FALSE,"proj2"}</definedName>
    <definedName name="wrn.Business._.Plan.">{#N/A,#N/A,TRUE,"Cover sheet";#N/A,#N/A,TRUE,"F.S.";#N/A,#N/A,TRUE,"Macroecon.";#N/A,#N/A,TRUE,"Microeconomics";#N/A,#N/A,TRUE,"Revenues";#N/A,#N/A,TRUE,"COS-supporting";#N/A,#N/A,TRUE,"COS";#N/A,#N/A,TRUE,"Other costs-supporting";#N/A,#N/A,TRUE,"Other costs";#N/A,#N/A,TRUE,"Other income&amp;expense";#N/A,#N/A,TRUE,"Capital ex.";#N/A,#N/A,TRUE,"Financing";#N/A,#N/A,TRUE,"Equity";#N/A,#N/A,TRUE,"Corporate taxation";#N/A,#N/A,TRUE,"current A.&amp;L."}</definedName>
    <definedName name="wrn.ByMonth_Actuals.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Plan.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C.M.x._.Prod..">{"C.M.",#N/A,FALSE,"Cta x Prod."}</definedName>
    <definedName name="wrn.C.P.V.x._.Articulo._.y._.x._.Prod..">{#N/A,#N/A,FALSE,"C.P.V.";#N/A,#N/A,FALSE,"C.P.V.";#N/A,#N/A,FALSE,"Prod.Loc.";#N/A,#N/A,FALSE,"Prod.Imp.";#N/A,#N/A,FALSE,"Helados";#N/A,#N/A,FALSE,"Evol.en $";#N/A,#N/A,FALSE,"Evol. C.M.U$S"}</definedName>
    <definedName name="wrn.Cash.">{"CashPrint",#N/A,FALSE,"Cash"}</definedName>
    <definedName name="wrn.Cash._.Flow.">{#N/A,#N/A,FALSE,"Cash Flow"}</definedName>
    <definedName name="wrn.CEG.">{#N/A,#N/A,FALSE,"campo"}</definedName>
    <definedName name="wrn.charmin.">{"charmin",#N/A,FALSE,"FMAM II"}</definedName>
    <definedName name="wrn.CHART.">{"CHART",#N/A,FALSE,"Arch Communications"}</definedName>
    <definedName name="wrn.chi._.tiÆt.">{#N/A,#N/A,FALSE,"Chi tiÆt"}</definedName>
    <definedName name="wrn.CIERREMES.">{#N/A,#N/A,FALSE,"EOAF ";#N/A,#N/A,FALSE,"Balance";#N/A,#N/A,FALSE,"BalanceResumen";#N/A,#N/A,FALSE,"PyG";#N/A,#N/A,FALSE,"Analítica ac.";#N/A,#N/A,FALSE,"Analítica mes"}</definedName>
    <definedName name="wrn.Classif.">{"Lait",#N/A,FALSE,"01";"Ninf",#N/A,FALSE,"02";"Csol",#N/A,FALSE,"03";"Aboi",#N/A,FALSE,"04";"choco",#N/A,FALSE,"05";"culin",#N/A,FALSE,"06";"surgelé",#N/A,FALSE,"07";"glace",#N/A,FALSE,"08";"reflait",#N/A,FALSE,"09";"boisliqu",#N/A,FALSE,"10";"rest",#N/A,FALSE,"11";"Oreal",#N/A,FALSE,"12";"pet",#N/A,FALSE,"14";"pharma",#N/A,FALSE,"13";"nutad",#N/A,FALSE,"15";"caftorr",#N/A,FALSE,"17";"refcul",#N/A,FALSE,"18";"annexe",#N/A,FALSE,"19"}</definedName>
    <definedName name="wrn.client.">{"multiple",#N/A,FALSE,"client";"margins",#N/A,FALSE,"client";"data",#N/A,FALSE,"client"}</definedName>
    <definedName name="wrn.Client3.">{"data",#N/A,FALSE,"client (3)";"margins",#N/A,FALSE,"client (3)";"multiple",#N/A,FALSE,"client (3)"}</definedName>
    <definedName name="wrn.client4.">{"multiple",#N/A,FALSE,"client (4)";"margins",#N/A,FALSE,"client (4)";"data",#N/A,FALSE,"client (4)"}</definedName>
    <definedName name="wrn.clientcopy.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ns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bination.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>{#N/A,#N/A,FALSE,"INPUTS";#N/A,#N/A,FALSE,"PROFORMA BSHEET";#N/A,#N/A,FALSE,"COMBINED";#N/A,#N/A,FALSE,"HIGH YIELD";#N/A,#N/A,FALSE,"COMB_GRAPHS"}</definedName>
    <definedName name="wrn.COMBINED._1">{#N/A,#N/A,FALSE,"INPUTS";#N/A,#N/A,FALSE,"PROFORMA BSHEET";#N/A,#N/A,FALSE,"COMBINED";#N/A,#N/A,FALSE,"HIGH YIELD";#N/A,#N/A,FALSE,"COMB_GRAPHS"}</definedName>
    <definedName name="wrn.COMBINED._2">{#N/A,#N/A,FALSE,"INPUTS";#N/A,#N/A,FALSE,"PROFORMA BSHEET";#N/A,#N/A,FALSE,"COMBINED";#N/A,#N/A,FALSE,"HIGH YIELD";#N/A,#N/A,FALSE,"COMB_GRAPHS"}</definedName>
    <definedName name="wrn.COMBINED._3">{#N/A,#N/A,FALSE,"INPUTS";#N/A,#N/A,FALSE,"PROFORMA BSHEET";#N/A,#N/A,FALSE,"COMBINED";#N/A,#N/A,FALSE,"HIGH YIELD";#N/A,#N/A,FALSE,"COMB_GRAPHS"}</definedName>
    <definedName name="wrn.COMBINED._4">{#N/A,#N/A,FALSE,"INPUTS";#N/A,#N/A,FALSE,"PROFORMA BSHEET";#N/A,#N/A,FALSE,"COMBINED";#N/A,#N/A,FALSE,"HIGH YIELD";#N/A,#N/A,FALSE,"COMB_GRAPHS"}</definedName>
    <definedName name="wrn.COMBINED._5">{#N/A,#N/A,FALSE,"INPUTS";#N/A,#N/A,FALSE,"PROFORMA BSHEET";#N/A,#N/A,FALSE,"COMBINED";#N/A,#N/A,FALSE,"HIGH YIELD";#N/A,#N/A,FALSE,"COMB_GRAPHS"}</definedName>
    <definedName name="wrn.ComboResults.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>{#N/A,#N/A,FALSE,"Combo-Ass ";#N/A,#N/A,FALSE,"Combo-IS";#N/A,#N/A,FALSE,"Combo-BS";#N/A,#N/A,FALSE,"Combo-CF"}</definedName>
    <definedName name="wrn.compare.">{"page1",#N/A,FALSE,"Temp";"page2",#N/A,FALSE,"Temp";"page3",#N/A,FALSE,"Temp";"page4",#N/A,FALSE,"Temp";"page5",#N/A,FALSE,"Temp";"page6",#N/A,FALSE,"Temp"}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lete._.File.">{#N/A,#N/A,TRUE,"Top";#N/A,#N/A,TRUE,"Quarter";#N/A,#N/A,TRUE,"Variance";#N/A,#N/A,TRUE,"Forecast";#N/A,#N/A,TRUE,"ForecastMnthly";#N/A,#N/A,TRUE,"ForecastQtrly";#N/A,#N/A,TRUE,"Actual"}</definedName>
    <definedName name="wrn.Complete._.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o.">{#N/A,#N/A,TRUE,"Port";#N/A,#N/A,TRUE,"Cuenta";#N/A,#N/A,TRUE,"CN";#N/A,#N/A,TRUE,"AP";#N/A,#N/A,TRUE,"PE";#N/A,#N/A,TRUE,"AG";#N/A,#N/A,TRUE,"SE";#N/A,#N/A,TRUE,"IO";#N/A,#N/A,TRUE,"TR";#N/A,#N/A,TRUE,"AM";#N/A,#N/A,TRUE,"PR";#N/A,#N/A,TRUE,"CTC";#N/A,#N/A,TRUE,"DF";#N/A,#N/A,TRUE,"BE";#N/A,#N/A,TRUE,"GF";#N/A,#N/A,TRUE,"IF";#N/A,#N/A,TRUE,"EP";#N/A,#N/A,TRUE,"EN";#N/A,#N/A,TRUE,"IS";#N/A,#N/A,TRUE,"SM";#N/A,#N/A,TRUE,"AJ";#N/A,#N/A,TRUE,"Eoaf";#N/A,#N/A,TRUE,"Inversion";#N/A,#N/A,TRUE,"Desinversion";#N/A,#N/A,TRUE,"Acciones";#N/A,#N/A,TRUE,"IGdve";#N/A,#N/A,TRUE,"Deficit";#N/A,#N/A,TRUE,"Balance";#N/A,#N/A,TRUE,"Incorp";#N/A,#N/A,TRUE,"DifConv";#N/A,#N/A,TRUE,"Circulante";#N/A,#N/A,TRUE,"Dividendo"}</definedName>
    <definedName name="wrn.COMPRAS.">{#N/A,#N/A,TRUE,"RES.EXPLOT.";#N/A,#N/A,TRUE,"RES.DESV.";"RES",#N/A,TRUE,"RES.EXPLOT."}</definedName>
    <definedName name="wrn.Consol._.adjusts.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idated._.Financials.">{#N/A,#N/A,TRUE,"Index";#N/A,#N/A,TRUE,"Highlights";#N/A,#N/A,TRUE,"Month P&amp;L";#N/A,#N/A,TRUE,"YTD P&amp;L";#N/A,#N/A,TRUE,"Bal Sht";#N/A,#N/A,TRUE,"Mth &amp; YTD CF";#N/A,#N/A,TRUE,"QTR &amp; YTD CF";#N/A,#N/A,TRUE,"Ops data";#N/A,#N/A,TRUE,"Fin Data";#N/A,#N/A,TRUE,"Mth reg P&amp;L-GC";#N/A,#N/A,TRUE,"YTD reg P&amp;L-GC";#N/A,#N/A,TRUE,"Summ admin exps"}</definedName>
    <definedName name="wrn.Consolidated._.Schedules.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ed._.Statements.">{"view1",#N/A,FALSE,"EARN (US$)";"view1",#N/A,FALSE,"DASTBS (US$)";"view1",#N/A,FALSE,"DASTCF (US$)"}</definedName>
    <definedName name="wrn.CONSOLIDATION.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.Adjustments.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tribution.">{#N/A,#N/A,FALSE,"Contribution Analysis"}</definedName>
    <definedName name="wrn.Covers.">{"view1",#N/A,FALSE,"MOTEARN";"view1",#N/A,FALSE,"Bal Sht";"view1",#N/A,FALSE,"Cash Flows"}</definedName>
    <definedName name="wrn.cpr_res._.y._.bal_acum._.al._.mes.">{"CPRRES",#N/A,TRUE,"CPR";"CPRBAL",#N/A,TRUE,"CPR"}</definedName>
    <definedName name="wrn.cpr_res._.y._.bal_mes._.y._.evol.">{"RDOMES",#N/A,TRUE,"CPR";"BALMES",#N/A,TRUE,"CPR";"CPRRES",#N/A,TRUE,"CPR";"CPRBAL",#N/A,TRUE,"CPR"}</definedName>
    <definedName name="wrn.Creamette_Price_List.">{"Retail_Price_List",#N/A,FALSE,"Retail";"Hawaii_Price_List",#N/A,FALSE,"Hawaii";"Peyton_Price_List",#N/A,FALSE,"Peyton";"Distributor_Price_List",#N/A,FALSE,"Distributor"}</definedName>
    <definedName name="wrn.Crisp_2002_1.">{#N/A,#N/A,FALSE,"Report"}</definedName>
    <definedName name="wrn.csc.">{"orixcsc",#N/A,FALSE,"ORIX CSC";"orixcsc2",#N/A,FALSE,"ORIX CSC"}</definedName>
    <definedName name="wrn.csc2.">{#N/A,#N/A,FALSE,"ORIX CSC"}</definedName>
    <definedName name="wrn.CumAndAdj.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YBDPY._.LC._.and._.USD.">{"CurrQtr YTD Portrait",#N/A,TRUE,"CYBDPY - LC";"Mths FullYr LScape",#N/A,TRUE,"CYBDPY - LC";"CurrQtr YTD Portrait",#N/A,TRUE,"CYBDPY - USD";"Mths FullYr LScape",#N/A,TRUE,"CYBDPY - USD"}</definedName>
    <definedName name="wrn.dat">{"Pound Sterling",#N/A,TRUE,"PPD";"Pound Sterling",#N/A,TRUE,"Anaquest";"Pound Sterling",#N/A,TRUE,"Delta";"Pound Sterling",#N/A,TRUE,"INO"}</definedName>
    <definedName name="wrn.dcf.">{"mgmt forecast",#N/A,FALSE,"Mgmt Forecast";"dcf table",#N/A,FALSE,"Mgmt Forecast";"sensitivity",#N/A,FALSE,"Mgmt Forecast";"table inputs",#N/A,FALSE,"Mgmt Forecast";"calculations",#N/A,FALSE,"Mgmt Forecast"}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CF._.Valuation.">{"value box",#N/A,TRUE,"DPL Inc. Fin Statements";"unlevered free cash flows",#N/A,TRUE,"DPL Inc. Fin Statements"}</definedName>
    <definedName name="wrn.DCF._1">{"DCF",#N/A,FALSE,"CF"}</definedName>
    <definedName name="wrn.DCF._2">{"DCF",#N/A,FALSE,"CF"}</definedName>
    <definedName name="wrn.DCF._3">{"DCF",#N/A,FALSE,"CF"}</definedName>
    <definedName name="wrn.DCF._4">{"DCF",#N/A,FALSE,"CF"}</definedName>
    <definedName name="wrn.DCF._5">{"DCF",#N/A,FALSE,"CF"}</definedName>
    <definedName name="wrn.DEPARTMENTS.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etail._.income._.and._.expense.">{#N/A,#N/A,TRUE,"Assumptions";#N/A,#N/A,TRUE,"Revenue &amp; Direct Expense";#N/A,#N/A,TRUE,"Indirect Expense"}</definedName>
    <definedName name="wrn.Detail._.Schedules.">{"Detailed License Receipts",#N/A,FALSE,"F-InstallRec";"Maint Sched",#N/A,FALSE,"F-MainRec";#N/A,#N/A,FALSE,"F-OtherRec";"Other Detail",#N/A,FALSE,"F-OtherRec";"Con Month Rev",#N/A,FALSE,"F-ConSemRec";"Other Sched",#N/A,FALSE,"F-OtherRec";"Consulting Schedules",#N/A,FALSE,"F-ConSemRec";"Schedule",#N/A,FALSE,"A-CorpDisb";"Schedule",#N/A,FALSE,"A-AtwkDisb";#N/A,#N/A,FALSE,"F-CorpDisb";"Schedule",#N/A,FALSE,"F-CorpDisb";"Schedule",#N/A,FALSE,"F-AtwkDisb";"Detailed Assumptions",#N/A,FALSE,"F-CorpDisb";"Detailed Assumptions",#N/A,FALSE,"F-AtwkDisb";"Contract Assumptions",#N/A,FALSE,"Drivers";"Disbursement Drivers",#N/A,FALSE,"Drivers";"Detailed Triggers",#N/A,FALSE,"Triggers";"Quarter",#N/A,FALSE,"Triggers";"Rollout Contracts",#N/A,FALSE,"Triggers"}</definedName>
    <definedName name="wrn.Detailed._.Forecasts.">{#N/A,#N/A,TRUE,"Forecast";#N/A,#N/A,TRUE,"ForecastMnthly";#N/A,#N/A,TRUE,"ForecastQtrly";#N/A,#N/A,TRUE,"Actual"}</definedName>
    <definedName name="wrn.DG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iebold._.1.">{#N/A,#N/A,FALSE,"Allo SEC";#N/A,#N/A,FALSE,"Consid";#N/A,#N/A,FALSE,"BalSht";#N/A,#N/A,FALSE,"Customer List";#N/A,#N/A,FALSE,"WFIP";#N/A,#N/A,FALSE,"WC";#N/A,#N/A,FALSE,"FA_Dep";#N/A,#N/A,FALSE,"SUMMARY";#N/A,#N/A,FALSE,"Hardware";#N/A,#N/A,FALSE,"WRM";#N/A,#N/A,FALSE,"NWS";#N/A,#N/A,FALSE,"Embed. SW";#N/A,#N/A,FALSE,"WRM-IPRD";#N/A,#N/A,FALSE,"WinForm-IPRD";#N/A,#N/A,FALSE,"Sheet1"}</definedName>
    <definedName name="wrn.dir.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STRIBUTION.">{#N/A,#N/A,FALSE,"1996 BRAND SUMMARY"}</definedName>
    <definedName name="wrn.distributiona.">{#N/A,#N/A,FALSE,"1996 BRAND SUMMARY"}</definedName>
    <definedName name="wrn.DivBldPlan.">{#N/A,#N/A,FALSE,"1) Key Points";#N/A,#N/A,FALSE,"2) Rev Sum";#N/A,#N/A,FALSE,"3) May_Apr_Delta";#N/A,#N/A,FALSE,"4) HC &amp; OTHER Nar";#N/A,#N/A,FALSE,"5) CSO NAR";#N/A,#N/A,FALSE,"6)  Ramp Parts";#N/A,#N/A,FALSE,"7)  Ramp Commentary";#N/A,#N/A,FALSE,"8) Total ICBD by Qtr 97-98";#N/A,#N/A,FALSE,"9)  IPG by Qtr 97-98";#N/A,#N/A,FALSE,"10)  LSG by Qtr 97-98";#N/A,#N/A,FALSE,"11)  CSO by Qtr 97-98";#N/A,#N/A,FALSE,"12) Customer";#N/A,#N/A,FALSE,"13) MKT SEG";#N/A,#N/A,FALSE,"14)  VCD";#N/A,#N/A,FALSE,"15)  VPR";#N/A,#N/A,FALSE,"16)  LSG";#N/A,#N/A,FALSE,"17)  SDD";#N/A,#N/A,FALSE,"18)  CSO CPU";#N/A,#N/A,FALSE,"19)  CSO CC";#N/A,#N/A,FALSE,"20)  CSO Graphics";#N/A,#N/A,FALSE,"21)  CSO-IT";#N/A,#N/A,FALSE,"22)  PROCESS"}</definedName>
    <definedName name="wrn.djall.">{"djcash",#N/A,FALSE,"DJann";"djinc",#N/A,FALSE,"DJann";"djtaxes",#N/A,FALSE,"DJann";"djbuspub",#N/A,FALSE,"DJann";"djwall",#N/A,FALSE,"DJann";"djcompprs",#N/A,FALSE,"DJann";"djteler",#N/A,FALSE,"DJann"}</definedName>
    <definedName name="wrn.Dom.">{"Dom_qty",#N/A,FALSE,"Domestic";"Dom_sell",#N/A,FALSE,"Domestic";"Dom_misc",#N/A,FALSE,"Domestic"}</definedName>
    <definedName name="wrn.Draft.">{"Draft",#N/A,FALSE,"Feb-96"}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2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pall.">{"ecpcash",#N/A,FALSE,"ECPann";"ecpinc",#N/A,FALSE,"ECPann";"ecpindia",#N/A,FALSE,"ECPann";"ecpmun",#N/A,FALSE,"ECPann";"ecpphoenix",#N/A,FALSE,"ECPann";"ecpothe",#N/A,FALSE,"ECPann";"ecpbalsht",#N/A,FALSE,"ECPann"}</definedName>
    <definedName name="wrn.Entire._.Model._.with._.Backup.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TADOS._.FINANCIEROS.">{#N/A,#N/A,FALSE,"ACTIVO - hoja 1";#N/A,#N/A,FALSE,"ACTIVO - hoja 2";#N/A,#N/A,FALSE,"PASIVO - hoja 1";#N/A,#N/A,FALSE,"PASIVO - hoja 2";#N/A,#N/A,FALSE,"GASTOS - hoja 1 ";#N/A,#N/A,FALSE,"GASTOS - hoja 2";#N/A,#N/A,FALSE,"INGRESOS - hoja 1 ";#N/A,#N/A,FALSE,"INGRESOS - hoja 2"}</definedName>
    <definedName name="wrn.EstadosFros.">{#N/A,#N/A,TRUE,"Port";#N/A,#N/A,TRUE,"Cuenta";#N/A,#N/A,TRUE,"Eoaf";#N/A,#N/A,TRUE,"Balance"}</definedName>
    <definedName name="wrn.este.">{#N/A,#N/A,FALSE,"DATOS";#N/A,#N/A,FALSE,"RESUMEN";#N/A,#N/A,FALSE,"INVERS"}</definedName>
    <definedName name="wrn.ETH.">{"AnnMarg.",#N/A,FALSE,"ETHAN";"Q",#N/A,FALSE,"Qtrs."}</definedName>
    <definedName name="wrn.Everything.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.._.A.">{"Page 1",#N/A,TRUE,"Sheet1";"Page 2",#N/A,TRUE,"Sheet1"}</definedName>
    <definedName name="wrn.exec.">{"exec",#N/A,FALSE,"EXECSUM";"int",#N/A,FALSE,"EXECSUM"}</definedName>
    <definedName name="wrn.Executive._.Summary.">{#N/A,#N/A,TRUE,"Top";#N/A,#N/A,TRUE,"Quarter";#N/A,#N/A,TRUE,"Variance"}</definedName>
    <definedName name="wrn.Exp.">{"Exp_qty",#N/A,FALSE,"Export";"Exp_sell",#N/A,FALSE,"Export";"Exp_misc",#N/A,FALSE,"Export"}</definedName>
    <definedName name="wrn.ExpCompSet.">{"ExpCompSet",#N/A,FALSE,"Export Comp. Sets"}</definedName>
    <definedName name="wrn.External.">{"External_Annual_Income",#N/A,FALSE,"External";"External_Quarterly_Income",#N/A,FALSE,"External"}</definedName>
    <definedName name="wrn.external1.">{"AAnIncStm",#N/A,FALSE,"QCOMMOD";"BAnCommRev",#N/A,FALSE,"QCOMMOD";"chandsetanaly",#N/A,FALSE,"QCOMMOD";"cInfrastrctanaly",#N/A,FALSE,"QCOMMOD";"DAnnOmniRevAnalysis",#N/A,FALSE,"QCOMMOD";"EAnnGrossMargin",#N/A,FALSE,"QCOMMOD";"EContract Service Rev Analysis",#N/A,FALSE,"QCOMMOD";"FQtrlyIncStm",#N/A,FALSE,"QTRLY";"GQtrlySegDetail",#N/A,FALSE,"QTRLY";"HQtrlyInfrHndstOnmi",#N/A,FALSE,"QTRLY";"IQtrlyGrossProfit",#N/A,FALSE,"QTRLY"}</definedName>
    <definedName name="wrn.F.ibv_act_pas_gastos_ingresos.">{"ACT",#N/A,TRUE,"FIBV";"PAS",#N/A,TRUE,"FIBV";"RdoH",#N/A,TRUE,"FIBV";"RdoD",#N/A,TRUE,"FIBV"}</definedName>
    <definedName name="wrn.FACILITIES.">{"DL's_Breakout",#N/A,TRUE,"SSMC(DL's breakout)";"02SSMC_YTD",#N/A,TRUE,"SSMC";"07Fac_CMth",#N/A,TRUE,"Fac";"08Fac_YTD",#N/A,TRUE,"Fac"}</definedName>
    <definedName name="wrn.fb.">{"AnnMarg",#N/A,FALSE,"FALCON";"Q",#N/A,FALSE,"Qtrs."}</definedName>
    <definedName name="wrn.FCB.">{"FCB_ALL",#N/A,FALSE,"FCB"}</definedName>
    <definedName name="wrn.fcb2">{"FCB_ALL",#N/A,FALSE,"FCB"}</definedName>
    <definedName name="wrn.Fees._.by._.Quarter.">{#N/A,#N/A,FALSE,"Fees by QTR"}</definedName>
    <definedName name="wrn.filecopy.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ter.">{#N/A,#N/A,FALSE,"Assump2";#N/A,#N/A,FALSE,"Income2";#N/A,#N/A,FALSE,"Balance2";#N/A,#N/A,FALSE,"DCF Filter";#N/A,#N/A,FALSE,"Trans Assump2";#N/A,#N/A,FALSE,"Combined Income2";#N/A,#N/A,FALSE,"Combined Balance2"}</definedName>
    <definedName name="wrn.Final.">{"Final",#N/A,FALSE,"Feb-96"}</definedName>
    <definedName name="wrn.Financial._.Report.">{#N/A,#N/A,TRUE,"P&amp;L";#N/A,#N/A,TRUE,"note 1";#N/A,#N/A,TRUE,"note 2";#N/A,#N/A,TRUE,"note 3";#N/A,#N/A,TRUE,"note 4"}</definedName>
    <definedName name="wrn.Financial._.Report._1">{#N/A,#N/A,TRUE,"P&amp;L";#N/A,#N/A,TRUE,"note 1";#N/A,#N/A,TRUE,"note 2";#N/A,#N/A,TRUE,"note 3";#N/A,#N/A,TRUE,"note 4"}</definedName>
    <definedName name="wrn.Financial._.Report._2">{#N/A,#N/A,TRUE,"P&amp;L";#N/A,#N/A,TRUE,"note 1";#N/A,#N/A,TRUE,"note 2";#N/A,#N/A,TRUE,"note 3";#N/A,#N/A,TRUE,"note 4"}</definedName>
    <definedName name="wrn.Financial._.Report._3">{#N/A,#N/A,TRUE,"P&amp;L";#N/A,#N/A,TRUE,"note 1";#N/A,#N/A,TRUE,"note 2";#N/A,#N/A,TRUE,"note 3";#N/A,#N/A,TRUE,"note 4"}</definedName>
    <definedName name="wrn.Financial._.Report._4">{#N/A,#N/A,TRUE,"P&amp;L";#N/A,#N/A,TRUE,"note 1";#N/A,#N/A,TRUE,"note 2";#N/A,#N/A,TRUE,"note 3";#N/A,#N/A,TRUE,"note 4"}</definedName>
    <definedName name="wrn.Financial._.Report._5">{#N/A,#N/A,TRUE,"P&amp;L";#N/A,#N/A,TRUE,"note 1";#N/A,#N/A,TRUE,"note 2";#N/A,#N/A,TRUE,"note 3";#N/A,#N/A,TRUE,"note 4"}</definedName>
    <definedName name="wrn.FINANCIAL._.STATEMENTS.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wrn.financials">{#N/A,#N/A,TRUE,"FormalBS";#N/A,#N/A,TRUE,"FormalPL";#N/A,#N/A,TRUE,"PL CoPack";#N/A,#N/A,TRUE,"PLNet of CoPack";#N/A,#N/A,TRUE,"FormalCF"}</definedName>
    <definedName name="wrn.financials.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zbedarfsrechnung.">{#N/A,#N/A,FALSE,"Finanzbedarfsrechnung"}</definedName>
    <definedName name="wrn.first2.">{#N/A,#N/A,FALSE,"sum-don";#N/A,#N/A,FALSE,"inc-don"}</definedName>
    <definedName name="wrn.first3.">{#N/A,#N/A,FALSE,"Summary";#N/A,#N/A,FALSE,"proj1";#N/A,#N/A,FALSE,"proj2"}</definedName>
    <definedName name="wrn.first4.">{#N/A,#N/A,FALSE,"Summary";#N/A,#N/A,FALSE,"proj1";#N/A,#N/A,FALSE,"proj2";#N/A,#N/A,FALSE,"DCF"}</definedName>
    <definedName name="wrn.FISV._.5._.year._.model.">{"Assns Fax",#N/A,FALSE,"Assumptions";"Financial View",#N/A,FALSE,"Earnings";"DCF View",#N/A,FALSE,"Earnings";"Sensitivity",#N/A,FALSE,"DCF"}</definedName>
    <definedName name="wrn.FIVE._.YEAR._.PROJECTION.">{"FIVEYEAR",#N/A,TRUE,"SUMMARY";"FIVEYEAR",#N/A,TRUE,"Ratios";"FIVEYEAR",#N/A,TRUE,"Revenue";"FIVEYEAR",#N/A,TRUE,"DETAIL";"FIVEYEAR",#N/A,TRUE,"Payroll"}</definedName>
    <definedName name="wrn.for._.TenneT.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ecast.">{#N/A,#N/A,FALSE,"model"}</definedName>
    <definedName name="wrn.Forecast._.Q1.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2">{#N/A,#N/A,FALSE,"model"}</definedName>
    <definedName name="wrn.forecastassumptions.">{#N/A,#N/A,FALSE,"model"}</definedName>
    <definedName name="wrn.forecastassumptions2">{#N/A,#N/A,FALSE,"model"}</definedName>
    <definedName name="wrn.forecastROIC.">{#N/A,#N/A,FALSE,"model"}</definedName>
    <definedName name="wrn.forecastROIC2">{#N/A,#N/A,FALSE,"model"}</definedName>
    <definedName name="wrn.FTS.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">{"divisions",#N/A,TRUE,"Drivers";"PandL_Ratios",#N/A,TRUE,"P&amp;L"}</definedName>
    <definedName name="wrn.Full._.model.">{#N/A,#N/A,TRUE,"Cover sheet";#N/A,#N/A,TRUE,"INPUTS";#N/A,#N/A,TRUE,"OUTPUTS";#N/A,#N/A,TRUE,"VALUATION"}</definedName>
    <definedName name="wrn.Full._.report.">{"multiple",#N/A,FALSE,"client (2)";"margins",#N/A,FALSE,"client (2)";"data",#N/A,FALSE,"client (2)";"multiple",#N/A,FALSE,"client";"margins",#N/A,FALSE,"client";"data",#N/A,FALSE,"client"}</definedName>
    <definedName name="wrn.Full._.without._.data.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1">{"divisions",#N/A,TRUE,"Drivers";"PandL_Ratios",#N/A,TRUE,"P&amp;L"}</definedName>
    <definedName name="wrn.FULL._2">{"divisions",#N/A,TRUE,"Drivers";"PandL_Ratios",#N/A,TRUE,"P&amp;L"}</definedName>
    <definedName name="wrn.FULL._3">{"divisions",#N/A,TRUE,"Drivers";"PandL_Ratios",#N/A,TRUE,"P&amp;L"}</definedName>
    <definedName name="wrn.FULL._4">{"divisions",#N/A,TRUE,"Drivers";"PandL_Ratios",#N/A,TRUE,"P&amp;L"}</definedName>
    <definedName name="wrn.FULL._5">{"divisions",#N/A,TRUE,"Drivers";"PandL_Ratios",#N/A,TRUE,"P&amp;L"}</definedName>
    <definedName name="wrn.FY97SBP.">{#N/A,#N/A,FALSE,"FY97";#N/A,#N/A,FALSE,"FY98";#N/A,#N/A,FALSE,"FY99";#N/A,#N/A,FALSE,"FY00";#N/A,#N/A,FALSE,"FY01"}</definedName>
    <definedName name="wrn.gastos.">{#N/A,#N/A,FALSE,"PERSONAL";#N/A,#N/A,FALSE,"explotación";#N/A,#N/A,FALSE,"generales"}</definedName>
    <definedName name="wrn.GCIall.">{"gcicash",#N/A,FALSE,"GCIINC";"gciinc",#N/A,FALSE,"GCIINC";"gciexclusa",#N/A,FALSE,"GCIINC";"usatdy",#N/A,FALSE,"GCIINC"}</definedName>
    <definedName name="wrn.gjkgjhg">{#N/A,#N/A,FALSE,"Triangle Total";#N/A,#N/A,FALSE,"Triangle LLC";#N/A,#N/A,FALSE,"Triangle LLC";#N/A,#N/A,FALSE,"Teeside"}</definedName>
    <definedName name="wrn.GRAPHS.">{#N/A,#N/A,FALSE,"ACQ_GRAPHS";#N/A,#N/A,FALSE,"T_1 GRAPHS";#N/A,#N/A,FALSE,"T_2 GRAPHS";#N/A,#N/A,FALSE,"COMB_GRAPHS"}</definedName>
    <definedName name="wrn.GRAPHS._1">{#N/A,#N/A,FALSE,"ACQ_GRAPHS";#N/A,#N/A,FALSE,"T_1 GRAPHS";#N/A,#N/A,FALSE,"T_2 GRAPHS";#N/A,#N/A,FALSE,"COMB_GRAPHS"}</definedName>
    <definedName name="wrn.GRAPHS._2">{#N/A,#N/A,FALSE,"ACQ_GRAPHS";#N/A,#N/A,FALSE,"T_1 GRAPHS";#N/A,#N/A,FALSE,"T_2 GRAPHS";#N/A,#N/A,FALSE,"COMB_GRAPHS"}</definedName>
    <definedName name="wrn.GRAPHS._3">{#N/A,#N/A,FALSE,"ACQ_GRAPHS";#N/A,#N/A,FALSE,"T_1 GRAPHS";#N/A,#N/A,FALSE,"T_2 GRAPHS";#N/A,#N/A,FALSE,"COMB_GRAPHS"}</definedName>
    <definedName name="wrn.GRAPHS._4">{#N/A,#N/A,FALSE,"ACQ_GRAPHS";#N/A,#N/A,FALSE,"T_1 GRAPHS";#N/A,#N/A,FALSE,"T_2 GRAPHS";#N/A,#N/A,FALSE,"COMB_GRAPHS"}</definedName>
    <definedName name="wrn.GRAPHS._5">{#N/A,#N/A,FALSE,"ACQ_GRAPHS";#N/A,#N/A,FALSE,"T_1 GRAPHS";#N/A,#N/A,FALSE,"T_2 GRAPHS";#N/A,#N/A,FALSE,"COMB_GRAPHS"}</definedName>
    <definedName name="wrn.Gross._.Profit._.Report.">{"Monthly",#N/A,FALSE,"Phosphate Gross Profit";"Quarterly",#N/A,FALSE,"Phosphate Gross Profit"}</definedName>
    <definedName name="wrn.GuV.">{#N/A,#N/A,FALSE,"Layout GuV"}</definedName>
    <definedName name="wrn.handout.">{#N/A,#N/A,FALSE,"Income Statement";#N/A,#N/A,FALSE,"Annual Income Statement";#N/A,#N/A,FALSE,"Balance Sheet";#N/A,#N/A,FALSE,"Cash Flow"}</definedName>
    <definedName name="wrn.HEAT.">{#N/A,#N/A,FALSE,"Heat";#N/A,#N/A,FALSE,"DCF";#N/A,#N/A,FALSE,"LBO";#N/A,#N/A,FALSE,"A";#N/A,#N/A,FALSE,"C";#N/A,#N/A,FALSE,"impd";#N/A,#N/A,FALSE,"Accr-Dilu"}</definedName>
    <definedName name="wrn.Helados.">{#N/A,#N/A,FALSE,"C.P.V.";#N/A,#N/A,FALSE,"Helados";#N/A,#N/A,FALSE,"Ingreso Helados";#N/A,#N/A,FALSE,"Estad.Vta Helados"}</definedName>
    <definedName name="wrn.Historical._.Cost._.PWC.">{#N/A,#N/A,TRUE,"Cover His PWC";#N/A,#N/A,TRUE,"P&amp;L";#N/A,#N/A,TRUE,"BS";#N/A,#N/A,TRUE,"Depreciation";#N/A,#N/A,TRUE,"GRAPHS";#N/A,#N/A,TRUE,"DCF EBITDA Multiple";#N/A,#N/A,TRUE,"DCF Perpetual Growth"}</definedName>
    <definedName name="wrn.Historical._.Cost._.TenneT.">{#N/A,#N/A,TRUE,"Cover His T";#N/A,#N/A,TRUE,"P&amp;L";#N/A,#N/A,TRUE,"BS";#N/A,#N/A,TRUE,"Depreciation";#N/A,#N/A,TRUE,"GRAPHS";#N/A,#N/A,TRUE,"DCF EBITDA Multiple";#N/A,#N/A,TRUE,"DCF Perpetual Growth"}</definedName>
    <definedName name="wrn.history.">{#N/A,#N/A,FALSE,"model"}</definedName>
    <definedName name="wrn.history2">{#N/A,#N/A,FALSE,"model"}</definedName>
    <definedName name="wrn.histROIC.">{#N/A,#N/A,FALSE,"model"}</definedName>
    <definedName name="wrn.histROIC2">{#N/A,#N/A,FALSE,"model"}</definedName>
    <definedName name="wrn.Hydraulic.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g._.Acq.">{#N/A,#N/A,FALSE,"main";#N/A,#N/A,FALSE,"100% Cash";#N/A,#N/A,FALSE,"100% Stock"}</definedName>
    <definedName name="wrn.IBI.">{"IBI Annual",#N/A,FALSE,"IBI";"Quarterly",#N/A,FALSE,"IBI";"Divisional",#N/A,FALSE,"IBI";"Divisional II",#N/A,FALSE,"IBI";"IBI Balance Sheet",#N/A,FALSE,"IBI";"IBI Funds",#N/A,FALSE,"IBI"}</definedName>
    <definedName name="wrn.IBI._.Divisional.">{"Divisional",#N/A,FALSE,"IBI";"Divisional II",#N/A,FALSE,"IBI";"Breakdown",#N/A,FALSE,"IBI"}</definedName>
    <definedName name="wrn.icem.">{#N/A,#N/A,FALSE,"Exb 2";#N/A,#N/A,FALSE,"Exb 3(a)";#N/A,#N/A,FALSE,"WACC";#N/A,#N/A,FALSE,"Exh 4(a)";#N/A,#N/A,FALSE,"Exh 4(b)";#N/A,#N/A,FALSE,"Exb 5(a)";#N/A,#N/A,FALSE,"Exb 5(b)"}</definedName>
    <definedName name="wrn.ICSTMTS.">{#N/A,#N/A,FALSE,"SYN-15";#N/A,#N/A,FALSE,"BRC-37 ";#N/A,#N/A,FALSE,"EIND-39";#N/A,#N/A,FALSE,"BV-40";#N/A,#N/A,FALSE,"BELG-41";#N/A,#N/A,FALSE,"FRANCESA-42";#N/A,#N/A,FALSE,"GERMSA-43";#N/A,#N/A,FALSE,"AUSTR-45";#N/A,#N/A,FALSE,"ITALYSA-46";#N/A,#N/A,FALSE,"SAFRIC-48";#N/A,#N/A,FALSE,"SPAINSA-49";#N/A,#N/A,FALSE,"VITA-50";#N/A,#N/A,FALSE,"DAN-51";#N/A,#N/A,FALSE,"UK-52";#N/A,#N/A,FALSE,"SWITZ-53";#N/A,#N/A,FALSE,"LEBAN-54";#N/A,#N/A,FALSE,"FOURM-56";#N/A,#N/A,FALSE,"CARDIO-57";#N/A,#N/A,FALSE,"BRUSHQ-58";#N/A,#N/A,FALSE,"ISRAEL-59";#N/A,#N/A,FALSE,"VITAJAP-68";#N/A,#N/A,FALSE,"CHWFOE-69";#N/A,#N/A,FALSE,"HK-70";#N/A,#N/A,FALSE,"AUSTRL-71";#N/A,#N/A,FALSE,"JAP-72";#N/A,#N/A,FALSE,"BIOTEC-73";#N/A,#N/A,FALSE,"IND-76";#N/A,#N/A,FALSE,"IND-76 (MAM)";#N/A,#N/A,FALSE,"DEN-77";#N/A,#N/A,FALSE,"NORW-78";#N/A,#N/A,FALSE,"SWED-79";#N/A,#N/A,FALSE,"VITASP-86";#N/A,#N/A,FALSE,"VITAGER-89";#N/A,#N/A,FALSE,"VITAFR-90";#N/A,#N/A,FALSE,"VITUK-91";#N/A,#N/A,FALSE,"EUR SA-97";#N/A,#N/A,FALSE,"MDTRNC-99"}</definedName>
    <definedName name="wrn.Import._.figures.">{"reports",#N/A,FALSE,"Balance Sheet"}</definedName>
    <definedName name="wrn.Impressao.">{#N/A,#N/A,FALSE,"DR Evaristo";#N/A,#N/A,FALSE,"Balanço Evaristo";#N/A,#N/A,FALSE,"cash flow";#N/A,#N/A,FALSE,"FM";#N/A,#N/A,FALSE,"Vendas";#N/A,#N/A,FALSE,"Dívida total";#N/A,#N/A,FALSE,"Investimentos"}</definedName>
    <definedName name="wrn.impressão.">{#N/A,#N/A,FALSE,"Producao";#N/A,#N/A,FALSE,"Prov Oper";#N/A,#N/A,FALSE,"Cons e Mg Br";#N/A,#N/A,FALSE,"G Gerais";#N/A,#N/A,FALSE,"Plano_Invest.";#N/A,#N/A,FALSE,"Mapa FM";#N/A,#N/A,FALSE,"DR";#N/A,#N/A,FALSE,"Balanço";#N/A,#N/A,FALSE,"Valor"}</definedName>
    <definedName name="wrn.Income._.Statement.">{#N/A,#N/A,FALSE,"Report Print"}</definedName>
    <definedName name="wrn.Industry.xls.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forme._.de._.Horas.">{"HORAS PAGADAS",#N/A,FALSE,"Detallado";#N/A,#N/A,FALSE,"Comp. con P.G.";#N/A,#N/A,FALSE,"Importados"}</definedName>
    <definedName name="wrn.Informe._.de._.MyR.">{#N/A,#N/A,FALSE,"Resumen de M&amp;R";#N/A,#N/A,FALSE,"Comp.con el P.G.";#N/A,#N/A,FALSE,"M&amp;R-Resumen"}</definedName>
    <definedName name="wrn.Informe._.Mensual.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_AJUSTES.">{"VISTA1",#N/A,FALSE,"Hoja2";"VISTA2",#N/A,FALSE,"Hoja2"}</definedName>
    <definedName name="wrn.Informes.">{#N/A,#N/A,FALSE,"Balancete";#N/A,#N/A,FALSE,"Gtos Comunes";#N/A,#N/A,FALSE,"Linea 00";#N/A,#N/A,FALSE,"Linea 91";#N/A,#N/A,FALSE,"Linea 95";#N/A,#N/A,FALSE,"Linea 98";#N/A,#N/A,FALSE,"Redistrib.Export.";#N/A,#N/A,FALSE,"Exportacion"}</definedName>
    <definedName name="wrn.ingreso.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._.and._.output.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s._.and._.detail._.calculations.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nputsheet_ProjectInput.">{"ProjectInput",#N/A,FALSE,"INPUT-AREA"}</definedName>
    <definedName name="wrn.Inputsheet_ProjectInput._1">{"ProjectInput",#N/A,FALSE,"INPUT-AREA"}</definedName>
    <definedName name="wrn.Inputsheet_ProjectInput._2">{"ProjectInput",#N/A,FALSE,"INPUT-AREA"}</definedName>
    <definedName name="wrn.Inputsheet_ProjectInput._3">{"ProjectInput",#N/A,FALSE,"INPUT-AREA"}</definedName>
    <definedName name="wrn.Inputsheet_ProjectInput._4">{"ProjectInput",#N/A,FALSE,"INPUT-AREA"}</definedName>
    <definedName name="wrn.Inputsheet_ProjectInput._5">{"ProjectInput",#N/A,FALSE,"INPUT-AREA"}</definedName>
    <definedName name="wrn.Internal.">{"AAnIncStm",#N/A,FALSE,"QCOMMOD"}</definedName>
    <definedName name="wrn.International._.Totals.">{"International Total",#N/A,FALSE,"Sheet1";"Mexico (5)",#N/A,FALSE,"Sheet1";"Mexico (37)",#N/A,FALSE,"Sheet1";"Puerto Rico (10)",#N/A,FALSE,"Sheet1"}</definedName>
    <definedName name="wrn.Introduction.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PO._.Valuation.">{"assumptions",#N/A,FALSE,"Scenario 1";"valuation",#N/A,FALSE,"Scenario 1"}</definedName>
    <definedName name="wrn.ipovalue.">{#N/A,#N/A,FALSE,"puboff";#N/A,#N/A,FALSE,"valuation";#N/A,#N/A,FALSE,"finanalsis";#N/A,#N/A,FALSE,"split";#N/A,#N/A,FALSE,"ownership"}</definedName>
    <definedName name="wrn.ireland">{"Pound Sterling",#N/A,TRUE,"PPD";"Pound Sterling",#N/A,TRUE,"Anaquest";"Pound Sterling",#N/A,TRUE,"Delta";"Pound Sterling",#N/A,TRUE,"INO"}</definedName>
    <definedName name="wrn.IS._.BS.">{#N/A,#N/A,FALSE,"Income State.";#N/A,#N/A,FALSE,"B-S"}</definedName>
    <definedName name="wrn.IS._.BS._1">{#N/A,#N/A,FALSE,"Income State.";#N/A,#N/A,FALSE,"B-S"}</definedName>
    <definedName name="wrn.IS._.BS._2">{#N/A,#N/A,FALSE,"Income State.";#N/A,#N/A,FALSE,"B-S"}</definedName>
    <definedName name="wrn.IS._.BS._3">{#N/A,#N/A,FALSE,"Income State.";#N/A,#N/A,FALSE,"B-S"}</definedName>
    <definedName name="wrn.IS._.BS._4">{#N/A,#N/A,FALSE,"Income State.";#N/A,#N/A,FALSE,"B-S"}</definedName>
    <definedName name="wrn.IS._.BS._5">{#N/A,#N/A,FALSE,"Income State.";#N/A,#N/A,FALSE,"B-S"}</definedName>
    <definedName name="wrn.ISCG._.model.">{#N/A,#N/A,FALSE,"Second";#N/A,#N/A,FALSE,"ownership";#N/A,#N/A,FALSE,"Valuation";#N/A,#N/A,FALSE,"Eqiv";#N/A,#N/A,FALSE,"Mults";#N/A,#N/A,FALSE,"ISCG Graphics"}</definedName>
    <definedName name="wrn.J97PLNS.XLS.">{#N/A,#N/A,FALSE,"J97plnfp"}</definedName>
    <definedName name="wrn.JANI._.REBATES.">{"TOTAL",#N/A,FALSE,"A";"FISCAL94",#N/A,FALSE,"A";"FISCAL95",#N/A,FALSE,"A";"FISCAL96",#N/A,FALSE,"A";"misc page",#N/A,FALSE,"A"}</definedName>
    <definedName name="wrn.jim.">{#N/A,#N/A,FALSE,"ACH &amp; Subs.- Income Stmt.";#N/A,#N/A,FALSE,"ACH &amp; Subs.- Balance Sheet";#N/A,#N/A,FALSE,"ACH - Investment in Subs.";#N/A,#N/A,FALSE,"ALICC &amp; Subs.- Income Stmt.";#N/A,#N/A,FALSE,"ALICC &amp; Subs.- Balance Sheet";#N/A,#N/A,FALSE,"ALICC - Investment in Subs.";#N/A,#N/A,FALSE,"aliclob"}</definedName>
    <definedName name="wrn.JULY._.10._._short.">{#N/A,#N/A,TRUE,"inflated RAB";#N/A,#N/A,TRUE,"nominal RAB";#N/A,#N/A,TRUE,"RAB Difference";#N/A,#N/A,TRUE,"Budget TenneT";#N/A,#N/A,TRUE,"Revenues";#N/A,#N/A,TRUE,"Period 1";#N/A,#N/A,TRUE,"Period 2";#N/A,#N/A,TRUE,"Period 3";#N/A,#N/A,TRUE,"Period 4";#N/A,#N/A,TRUE,"Operating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Capital";#N/A,#N/A,TRUE,"Cash";#N/A,#N/A,TRUE,"Equity";#N/A,#N/A,TRUE,"Provisions";#N/A,#N/A,TRUE,"Debt";#N/A,#N/A,TRUE,"BS";#N/A,#N/A,TRUE,"CF";#N/A,#N/A,TRUE,"DCF EBITDA Multiple";#N/A,#N/A,TRUE,"DCF Perpetual Growth"}</definedName>
    <definedName name="wrn.June8.">{#N/A,#N/A,FALSE,"Cover";#N/A,#N/A,FALSE,"Macro Assumptions";#N/A,#N/A,FALSE,"Tariffs DTe";#N/A,#N/A,FALSE,"2000 Revenues";#N/A,#N/A,FALSE,"Initial RAB";#N/A,#N/A,FALSE,"Budget TenneT";#N/A,#N/A,FALSE,"Revenues";#N/A,#N/A,FALSE,"Operating Expenses";#N/A,#N/A,FALSE,"Energy &amp; Power";#N/A,#N/A,FALSE,"Grid Costs";#N/A,#N/A,FALSE,"TPA";#N/A,#N/A,FALSE,"Maintenance";#N/A,#N/A,FALSE,"Personnel";#N/A,#N/A,FALSE,"General";#N/A,#N/A,FALSE,"Depr";#N/A,#N/A,FALSE,"P&amp;L";#N/A,#N/A,FALSE,"Fixed Assets_Sum";#N/A,#N/A,FALSE,"Assumptions";#N/A,#N/A,FALSE,"FA";#N/A,#N/A,FALSE,"CapEx";#N/A,#N/A,FALSE,"Work in Progress";#N/A,#N/A,FALSE,"Working Capital";#N/A,#N/A,FALSE,"Cash";#N/A,#N/A,FALSE,"Equity";#N/A,#N/A,FALSE,"Provisions";#N/A,#N/A,FALSE,"Debt";#N/A,#N/A,FALSE,"BS";#N/A,#N/A,FALSE,"CF";#N/A,#N/A,FALSE,"Lines";#N/A,#N/A,FALSE,"Stations";#N/A,#N/A,FALSE,"Cap. Expenses";#N/A,#N/A,FALSE,"Land";#N/A,#N/A,FALSE,"Cen Proces Sys";#N/A,#N/A,FALSE,"IT";#N/A,#N/A,FALSE,"telecom";#N/A,#N/A,FALSE,"Other";#N/A,#N/A,FALSE,"WACC_DTe_pre";#N/A,#N/A,FALSE,"WACC_DTe_post";#N/A,#N/A,FALSE,"Wacc";#N/A,#N/A,FALSE,"DCF EBITDA Multiple";#N/A,#N/A,FALSE,"DCF Perpetual Growth";#N/A,#N/A,FALSE,"RAB (DTe)";#N/A,#N/A,FALSE,"P&amp;L (2)";#N/A,#N/A,FALSE,"TComps"}</definedName>
    <definedName name="wrn.K3._.Annual.">{"K3Cash",#N/A,FALSE,"Ann";"K3Income",#N/A,FALSE,"Ann";"K3Educ",#N/A,FALSE,"Ann";"K3media",#N/A,FALSE,"Ann";"K3Info",#N/A,FALSE,"Ann";"K3Valuation",#N/A,FALSE,"Ann"}</definedName>
    <definedName name="wrn.K3._.Quarterly.">{"K3 first",#N/A,FALSE,"Qtr.";"K3 second",#N/A,FALSE,"Qtr.";"K3 Third",#N/A,FALSE,"Qtr.";"K3 Fourth",#N/A,FALSE,"Qtr.";"K3 Full",#N/A,FALSE,"Qtr."}</definedName>
    <definedName name="wrn.Komplettausdruck.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DRUCK.">{#N/A,#N/A,FALSE,"MARKT";#N/A,#N/A,FALSE,"TEILNEHMER";#N/A,#N/A,FALSE,"VERTRIEB";#N/A,#N/A,FALSE,"TARIFE_NO";#N/A,#N/A,FALSE,"NUTZUNG";#N/A,#N/A,FALSE,"MEHRWERT";#N/A,#N/A,FALSE,"ENDGERÄTE";#N/A,#N/A,FALSE,"UMSATZ"}</definedName>
    <definedName name="wrn.koncblad.">{#N/A,#N/A,FALSE,"FINBILD";#N/A,#N/A,FALSE,"BALANSR";#N/A,#N/A,FALSE,"FINANSIERING";#N/A,#N/A,FALSE,"VERKAO13";#N/A,#N/A,FALSE,"VERKAO12";#N/A,#N/A,FALSE,"VERKAO11";#N/A,#N/A,FALSE,"INTLEVER";#N/A,#N/A,FALSE,"RESAFFO";#N/A,#N/A,FALSE,"PERKVART";#N/A,#N/A,FALSE,"RESKONC"}</definedName>
    <definedName name="wrn.KPIs.">{#N/A,#N/A,TRUE,"Financial";#N/A,#N/A,TRUE,"Credit";#N/A,#N/A,TRUE,"Receivables Aging";#N/A,#N/A,TRUE,"Inventory Projections"}</definedName>
    <definedName name="wrn.kriall.">{"kricash",#N/A,FALSE,"INC";"kriinc",#N/A,FALSE,"INC";"krimiami",#N/A,FALSE,"INC";"kriother",#N/A,FALSE,"INC";"kripapers",#N/A,FALSE,"INC"}</definedName>
    <definedName name="wrn.Lanaken.">{"test",#N/A,FALSE,"Totaal Overzicht"}</definedName>
    <definedName name="wrn.LBO._.Summary.">{"LBO Summary",#N/A,FALSE,"Summary"}</definedName>
    <definedName name="wrn.Leases.xls.">{#N/A,#N/A,FALSE,"Initial Year";#N/A,#N/A,FALSE,"Historical";#N/A,#N/A,FALSE,"balsheet";#N/A,#N/A,FALSE,"incstate";#N/A,#N/A,FALSE,"Fleet"}</definedName>
    <definedName name="wrn.LIST.">{#N/A,#N/A,FALSE,"a"}</definedName>
    <definedName name="wrn.List.para._.el._.Cap.Trabajo.">{#N/A,#N/A,FALSE,"Ingreso Import.";#N/A,#N/A,FALSE,"Ingreso Helados";#N/A,#N/A,FALSE,"Evol.en $";#N/A,#N/A,FALSE,"Evol. C.M.U$S"}</definedName>
    <definedName name="wrn.LOB.">{"grossprem(LOB)",#N/A,FALSE,"TEMPLATE";"gpwgrowth(LOB)",#N/A,FALSE,"TEMPLATE";"retention(LOB)",#N/A,FALSE,"TEMPLATE";"netprem(LOB)",#N/A,FALSE,"TEMPLATE";"npwgrowth(LOB)",#N/A,FALSE,"TEMPLATE";"premearned(LOB)",#N/A,FALSE,"TEMPLATE";"lossratio(LOB)",#N/A,FALSE,"TEMPLATE";"commratio(LOB)",#N/A,FALSE,"TEMPLATE";"uwratio(LOB)",#N/A,FALSE,"TEMPLATE";"expenseratio(LOB)",#N/A,FALSE,"TEMPLATE";"combined(LOB)",#N/A,FALSE,"TEMPLATE";"savings(LOB)",#N/A,FALSE,"TEMPLATE";"GAAPexpense(LOB)",#N/A,FALSE,"TEMPLATE";"GAAPcombined(LOB)",#N/A,FALSE,"TEMPLATE";"DAC%(LOB)",#N/A,FALSE,"TEMPLATE";"DAC$(LOB)",#N/A,FALSE,"TEMPLATE";"lossdoll(LOB)",#N/A,FALSE,"TEMPLATE";"uwexpgrowth(LOB)",#N/A,FALSE,"TEMPLATE";"uwdoll(LOB)",#N/A,FALSE,"TEMPLATE";"commdoll(LOB)",#N/A,FALSE,"TEMPLATE";"expensedoll(LOB)",#N/A,FALSE,"TEMPLATE"}</definedName>
    <definedName name="wrn.LOWER._.PORTION.">{#N/A,#N/A,FALSE,"0895";"LOWER PORTION",#N/A,FALSE,"0895"}</definedName>
    <definedName name="wrn.LOWER._.PORTION._1">{#N/A,#N/A,FALSE,"0895";"LOWER PORTION",#N/A,FALSE,"0895"}</definedName>
    <definedName name="wrn.LOWER._.PORTION._2">{#N/A,#N/A,FALSE,"0895";"LOWER PORTION",#N/A,FALSE,"0895"}</definedName>
    <definedName name="wrn.LOWER._.PORTION._3">{#N/A,#N/A,FALSE,"0895";"LOWER PORTION",#N/A,FALSE,"0895"}</definedName>
    <definedName name="wrn.LOWER._.PORTION._4">{#N/A,#N/A,FALSE,"0895";"LOWER PORTION",#N/A,FALSE,"0895"}</definedName>
    <definedName name="wrn.LOWER._.PORTION._5">{#N/A,#N/A,FALSE,"0895";"LOWER PORTION",#N/A,FALSE,"0895"}</definedName>
    <definedName name="wrn.LTD.">{"Annual Income",#N/A,FALSE,"LTD";"D Op. Profit",#N/A,FALSE,"LTD";"D Op. Profit Continued",#N/A,FALSE,"LTD";"Segment Analysis",#N/A,FALSE,"LTD";"Segment Analysis Continued",#N/A,FALSE,"LTD";"Breakdown1",#N/A,FALSE,"LTD";"Breakdown2",#N/A,FALSE,"LTD";"Breakdown3",#N/A,FALSE,"LTD";"p",#N/A,FALSE,"LTD";"pp",#N/A,FALSE,"LTD";"ppp",#N/A,FALSE,"LTD";"Before",#N/A,FALSE,"LTD";"After",#N/A,FALSE,"LTD";"Credit",#N/A,FALSE,"LTD";"Segment Analysis Continued",#N/A,FALSE,"LTD"}</definedName>
    <definedName name="wrn.Main._.Report._.All._.Sections.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e.">{"Assumptions",#N/A,TRUE,"Assumptions";"Income",#N/A,TRUE,"Income";"Balance",#N/A,TRUE,"Balance"}</definedName>
    <definedName name="wrn.Maine2.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ssimo.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_Income.">{"Annual_Income",#N/A,FALSE,"Master Model";"Quarterly_Income",#N/A,FALSE,"Master Model"}</definedName>
    <definedName name="wrn.May._.21.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erjarenprognose.">{#N/A,#N/A,FALSE,"Uitkomsten"}</definedName>
    <definedName name="wrn.Meerjarenprognose2">{#N/A,#N/A,FALSE,"Uitkomsten"}</definedName>
    <definedName name="wrn.Meerjarenprognose3">{#N/A,#N/A,FALSE,"Uitkomsten"}</definedName>
    <definedName name="wrn.Memoria97.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nsual.">{#N/A,#N/A,TRUE,"Canal";#N/A,#N/A,TRUE,"Todas";#N/A,#N/A,TRUE,"Kiosco";#N/A,#N/A,TRUE,"Suscripción";#N/A,#N/A,TRUE,"Exportación";#N/A,#N/A,TRUE,"Crédito";#N/A,#N/A,TRUE,"GS+Inst";#N/A,#N/A,TRUE,"Otros";#N/A,#N/A,TRUE,"RBA";#N/A,#N/A,TRUE,"Estructura";#N/A,#N/A,TRUE,"Detalle"}</definedName>
    <definedName name="wrn.merge.">{#N/A,#N/A,FALSE,"IPO";#N/A,#N/A,FALSE,"DCF";#N/A,#N/A,FALSE,"LBO";#N/A,#N/A,FALSE,"MULT_VAL";#N/A,#N/A,FALSE,"Status Quo";#N/A,#N/A,FALSE,"Recap"}</definedName>
    <definedName name="wrn.MHHD.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hpall.">{"mhpcash",#N/A,FALSE,"MHPNEWX";"mhpinc",#N/A,FALSE,"MHPNEWX";"mhptax",#N/A,FALSE,"MHPNEWX";"mhpbroad",#N/A,FALSE,"MHPNEWX";"mhpeduc",#N/A,FALSE,"MHPNEWX";"mhpfin",#N/A,FALSE,"MHPNEWX";"mhpinfo",#N/A,FALSE,"MHPNEWX"}</definedName>
    <definedName name="wrn.MOBIL.">{"quarter",#N/A,FALSE,"MOB"}</definedName>
    <definedName name="wrn.Model.">{#N/A,#N/A,FALSE,"Cover";#N/A,#N/A,FALSE,"LUMI";#N/A,#N/A,FALSE,"COMD";#N/A,#N/A,FALSE,"Valuation";#N/A,#N/A,FALSE,"Assumptions";#N/A,#N/A,FALSE,"Pooling";#N/A,#N/A,FALSE,"BalanceSheet"}</definedName>
    <definedName name="wrn.Model_Analysis.">{"Quarterly Model",#N/A,FALSE,"Income";"Quarterly Analysis",#N/A,FALSE,"Income"}</definedName>
    <definedName name="wrn.Model_Print_Out.">{#N/A,#N/A,FALSE,"FON Detail";#N/A,#N/A,FALSE,"FON";#N/A,#N/A,FALSE,"PCS Detail";#N/A,#N/A,FALSE,"PCS";#N/A,#N/A,FALSE,"PCS";#N/A,#N/A,FALSE,"NOL Calc"}</definedName>
    <definedName name="wrn.Month.">{#N/A,#N/A,FALSE,"Comp Balance";#N/A,#N/A,FALSE,"Sum Balance ";#N/A,#N/A,FALSE,"Balance Trend";#N/A,#N/A,FALSE,"Comp PL";#N/A,#N/A,FALSE,"PL";#N/A,#N/A,FALSE,"Sum PL";#N/A,#N/A,FALSE,"PL Trend";#N/A,#N/A,FALSE,"Change"}</definedName>
    <definedName name="wrn.Monthly._.Fin._.Rev._.Pkg.">{#N/A,#N/A,FALSE,"PLAnalysis";#N/A,#N/A,FALSE,"VOHAnalysis";#N/A,#N/A,FALSE,"FixedAnalysis";#N/A,#N/A,FALSE,"PLYTDPivTble";#N/A,#N/A,FALSE,"Material Analysis";#N/A,#N/A,FALSE,"Direct Labor Analysis"}</definedName>
    <definedName name="wrn.Monthly._.LE.">{"sku_equnits",#N/A,FALSE,"1997 &amp; PROD";"sku_nsr",#N/A,FALSE,"1997 &amp; PROD";"sku_units",#N/A,FALSE,"1997 &amp; PROD";"yag_eq",#N/A,FALSE,"YAGSUM";"yag_units",#N/A,FALSE,"YAGSUM";"yag_nsr",#N/A,FALSE,"YAGSUM";"SKUSUM_NSR",#N/A,FALSE,"1997 &amp; PROD";"SKUSUM_UNITS",#N/A,FALSE,"1997 &amp; PROD";"SKUSUM_EQ",#N/A,FALSE,"1997 &amp; PROD"}</definedName>
    <definedName name="wrn.monthlyfinancialreview">{#N/A,#N/A,FALSE,"PLAnalysis";#N/A,#N/A,FALSE,"VOHAnalysis";#N/A,#N/A,FALSE,"FixedAnalysis";#N/A,#N/A,FALSE,"PLYTDPivTble";#N/A,#N/A,FALSE,"Material Analysis";#N/A,#N/A,FALSE,"Direct Labor Analysis"}</definedName>
    <definedName name="wrn.Monthlys.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wrn.MVD.">{#N/A,#N/A,FALSE,"MVD_98LROP_Pl";#N/A,#N/A,FALSE,"MVD_98LROP_Sales";#N/A,#N/A,FALSE,"MVD LROP Product P+L";#N/A,#N/A,FALSE,"MVD R&amp;O's";#N/A,#N/A,FALSE,"MVD 98LROP Launches"}</definedName>
    <definedName name="wrn.nema.">{#N/A,#N/A,FALSE,"Distbn Ntwrk";#N/A,#N/A,FALSE,"Workforce";#N/A,#N/A,FALSE,"cur-prod1";#N/A,#N/A,FALSE,"in-proc"}</definedName>
    <definedName name="wrn.newest.">{#N/A,#N/A,TRUE,"TS";#N/A,#N/A,TRUE,"Combo";#N/A,#N/A,TRUE,"FAIR";#N/A,#N/A,TRUE,"RBC";#N/A,#N/A,TRUE,"xxxx"}</definedName>
    <definedName name="wrn.NPD._.Summary._.Report.">{#N/A,#N/A,FALSE,"Proj Cost";#N/A,#N/A,FALSE,"Fair Scenario";#N/A,#N/A,FALSE,"Wonderful Scenario";#N/A,#N/A,FALSE,"Awful Scenario"}</definedName>
    <definedName name="wrn.ntfinance.">{"Rate",#N/A,TRUE,"SUMMARY";"Ratios",#N/A,TRUE,"Ratios";"BUDGETREVENUE",#N/A,TRUE,"Revenue";"TOTALS",#N/A,TRUE,"DETAIL"}</definedName>
    <definedName name="wrn.nytaann.">{"nytacash",#N/A,FALSE,"GLOBEINC";"nytainc",#N/A,FALSE,"GLOBEINC";"nytanyt",#N/A,FALSE,"GLOBEINC";"nytareg",#N/A,FALSE,"GLOBEINC";"nytaglobe",#N/A,FALSE,"GLOBEINC";"nytapprttl",#N/A,FALSE,"GLOBEINC"}</definedName>
    <definedName name="wrn.one.">{"page1",#N/A,FALSE,"A";"page2",#N/A,FALSE,"A"}</definedName>
    <definedName name="wrn.Op._.inc..">{"D Op. Profit",#N/A,FALSE,"LTD";"D Op Profit Continued",#N/A,FALSE,"LTD"}</definedName>
    <definedName name="wrn.OPC.">{#N/A,#N/A,FALSE,"Duran"}</definedName>
    <definedName name="wrn.OPERATIONS.">{"DL's_Breakout",#N/A,TRUE,"SSMC(DL's breakout)";"02SSMC_YTD",#N/A,TRUE,"SSMC";"21OPN_CMth",#N/A,TRUE,"OPN";"22OPN_YTD",#N/A,TRUE,"OPN"}</definedName>
    <definedName name="WRN.ORINT._.SCHA">{"SchA1",#N/A,FALSE,"Schedules";"SchA2",#N/A,FALSE,"Schedules"}</definedName>
    <definedName name="wrn.orint._.schb.">{"SchB1",#N/A,FALSE,"Schedules";"SchB2",#N/A,FALSE,"Schedules"}</definedName>
    <definedName name="wrn.Outlook._.for._.US._.Domestic._.Paging.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packer._.1.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s._.for._.Distribution.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ETC.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EWC1.">{"Graphic",#N/A,TRUE,"Graphic"}</definedName>
    <definedName name="wrn.PLAN.">{"AZO Inter BS",#N/A,FALSE,"Sheet1";"AZO Mexico BS",#N/A,FALSE,"Sheet1";"AZO PR BS",#N/A,FALSE,"Sheet1"}</definedName>
    <definedName name="wrn.PLFORECAST.">{"CY",#N/A,FALSE,"FORECAST";"PAYROLL",#N/A,FALSE,"FORECAST";"REC",#N/A,FALSE,"FORECAST";"SALES",#N/A,FALSE,"FORECAST"}</definedName>
    <definedName name="wrn.POST.">{#N/A,#N/A,FALSE,"Memo Page";#N/A,#N/A,FALSE,"Flash";#N/A,#N/A,FALSE,"Sls vs Mkt";#N/A,#N/A,FALSE,"YTD";#N/A,#N/A,FALSE,"Brand Detail";#N/A,#N/A,FALSE,"QTR_Index"}</definedName>
    <definedName name="wrn.Pound._.Sterling.">{"Pound Sterling",#N/A,TRUE,"PPD";"Pound Sterling",#N/A,TRUE,"Anaquest";"Pound Sterling",#N/A,TRUE,"Delta";"Pound Sterling",#N/A,TRUE,"INO"}</definedName>
    <definedName name="wrn.PRE.">{#N/A,#N/A,FALSE,"Summary";#N/A,#N/A,FALSE,"Flash";#N/A,#N/A,FALSE,"Sls vs Mkt";#N/A,#N/A,FALSE,"YTD";#N/A,#N/A,FALSE,"Brand Detail";#N/A,#N/A,FALSE,"QTR_Index";#N/A,#N/A,FALSE,"VOP Impact"}</definedName>
    <definedName name="wrn.PRES_OUT.">{"page1",#N/A,FALSE,"PRESENTATION";"page2",#N/A,FALSE,"PRESENTATION";#N/A,#N/A,FALSE,"Valuation Summary"}</definedName>
    <definedName name="wrn.PRES_OUT2">{"page1",#N/A,FALSE,"PRESENTATION";"page2",#N/A,FALSE,"PRESENTATION";#N/A,#N/A,FALSE,"Valuation Summary"}</definedName>
    <definedName name="wrn.Pres_OUT3">{"page1",#N/A,FALSE,"PRESENTATION";"page2",#N/A,FALSE,"PRESENTATION";#N/A,#N/A,FALSE,"Valuation Summary"}</definedName>
    <definedName name="wrn.PRES_OUT4">{"page1",#N/A,FALSE,"PRESENTATION";"page2",#N/A,FALSE,"PRESENTATION";#N/A,#N/A,FALSE,"Valuation Summary"}</definedName>
    <definedName name="wrn.PRES_OUT5">{"page1",#N/A,FALSE,"PRESENTATION";"page2",#N/A,FALSE,"PRESENTATION";#N/A,#N/A,FALSE,"Valuation Summary"}</definedName>
    <definedName name="wrn.PRES_OUT6">{"page1",#N/A,FALSE,"PRESENTATION";"page2",#N/A,FALSE,"PRESENTATION";#N/A,#N/A,FALSE,"Valuation Summary"}</definedName>
    <definedName name="wrn.PRES_OUT8">{"page1",#N/A,FALSE,"PRESENTATION";"page2",#N/A,FALSE,"PRESENTATION";#N/A,#N/A,FALSE,"Valuation Summary"}</definedName>
    <definedName name="wrn.Print.">{#N/A,#N/A,FALSE,"Assumps";#N/A,#N/A,FALSE,"Data";#N/A,#N/A,FALSE,"Data (2)";#N/A,#N/A,FALSE,"AcqyrP&amp;L";#N/A,#N/A,FALSE,"Acq+1P&amp;L";#N/A,#N/A,FALSE,"Acq+2P&amp;L";#N/A,#N/A,FALSE,"Cashflow";#N/A,#N/A,FALSE,"BalSheet";#N/A,#N/A,FALSE,"Bidder";#N/A,#N/A,FALSE,"Target";#N/A,#N/A,FALSE,"Tgtann";#N/A,#N/A,FALSE,"Topt";#N/A,#N/A,FALSE,"Disp";#N/A,#N/A,FALSE,"Dann";#N/A,#N/A,FALSE,"Syns"}</definedName>
    <definedName name="wrn.Print._.24.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All.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.Exhibits.">{"Inc Stmt Dollar",#N/A,FALSE,"IS";"Inc Stmt CS",#N/A,FALSE,"IS";"BS Dollar",#N/A,FALSE,"BS";"BS CS",#N/A,FALSE,"BS";"CF Dollar",#N/A,FALSE,"CF";"Ratio No.1",#N/A,FALSE,"Ratio";"Ratio No.2",#N/A,FALSE,"Ratio"}</definedName>
    <definedName name="wrn.Print._.All._.Pages.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chedules.">{"SchA1",#N/A,FALSE,"Schedules";"SchA2",#N/A,FALSE,"Schedules";"SchB1",#N/A,FALSE,"Schedules";"SchB2",#N/A,FALSE,"Schedules";"SchC1",#N/A,FALSE,"Schedules";"SchC2",#N/A,FALSE,"Schedules";"SchD1",#N/A,FALSE,"Schedules";"SchD2",#N/A,FALSE,"Schedules";"SchE1",#N/A,FALSE,"Schedules";"SchE2",#N/A,FALSE,"Schedules";"SchF1",#N/A,FALSE,"Schedules";"SchF2",#N/A,FALSE,"Schedules";"SchG1",#N/A,FALSE,"Schedules";"SchG2",#N/A,FALSE,"Schedules";"SchH1",#N/A,FALSE,"Schedules";"SchH2",#N/A,FALSE,"Schedules";"SchI1",#N/A,FALSE,"Schedules";"SchI2",#N/A,FALSE,"Schedules";"SchJ1",#N/A,FALSE,"Schedules";"SchJ2",#N/A,FALSE,"Schedules";"SchK1",#N/A,FALSE,"Schedules";"SchK2",#N/A,FALSE,"Schedules";"SchL1",#N/A,FALSE,"Schedules";"SchL2",#N/A,FALSE,"Schedules";"SchM1",#N/A,FALSE,"Schedules";"SchM2",#N/A,FALSE,"Schedules";"SchN1",#N/A,FALSE,"Schedules"}</definedName>
    <definedName name="wrn.Print._.All._.Worksheets.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BS._.Exhibits.">{"BS Dollar",#N/A,FALSE,"BS";"BS CS",#N/A,FALSE,"BS"}</definedName>
    <definedName name="wrn.Print._.CF._.Exhibit.">{"CF Dollar",#N/A,FALSE,"CF"}</definedName>
    <definedName name="wrn.print._.graphs.">{"cap_structure",#N/A,FALSE,"Graph-Mkt Cap";"price",#N/A,FALSE,"Graph-Price";"ebit",#N/A,FALSE,"Graph-EBITDA";"ebitda",#N/A,FALSE,"Graph-EBITDA"}</definedName>
    <definedName name="wrn.Print._.IS._.Exhibits.">{"Inc Stmt Dollar",#N/A,FALSE,"IS";"Inc Stmt CS",#N/A,FALSE,"IS"}</definedName>
    <definedName name="wrn.Print._.PL.">{"ITA_1_PL",#N/A,FALSE,"Print - PL";"ITA_2_PL",#N/A,FALSE,"Print - PL";"ITA_Group_PL",#N/A,FALSE,"Print - PL"}</definedName>
    <definedName name="wrn.Print._.Ratio._.Exhibits.">{"Ratio No.1",#N/A,FALSE,"Ratio";"Ratio No.2",#N/A,FALSE,"Ratio"}</definedName>
    <definedName name="wrn.print._.raw._.data._.entry.">{"inputs raw data",#N/A,TRUE,"INPUT"}</definedName>
    <definedName name="wrn.Print._.SchA.">{"SchA1",#N/A,FALSE,"Schedules";"SchA2",#N/A,FALSE,"Schedules"}</definedName>
    <definedName name="wrn.Print._.SchB.">{"SchB1",#N/A,FALSE,"Schedules";"SchB2",#N/A,FALSE,"Schedules"}</definedName>
    <definedName name="WRN.PRINT._.SCHBB">{"SchB1",#N/A,FALSE,"Schedules";"SchB2",#N/A,FALSE,"Schedules"}</definedName>
    <definedName name="wrn.Print._.SchC.">{"SchC1",#N/A,FALSE,"Schedules";"SchC2",#N/A,FALSE,"Schedules"}</definedName>
    <definedName name="wrn.Print._.SchD.">{"SchD1",#N/A,FALSE,"Schedules";"SchD2",#N/A,FALSE,"Schedules"}</definedName>
    <definedName name="wrn.Print._.SchE.">{"SchE1",#N/A,FALSE,"Schedules";"SchE2",#N/A,FALSE,"Schedules"}</definedName>
    <definedName name="wrn.Print._.SchF.">{"SchF1",#N/A,FALSE,"Schedules";"SchF2",#N/A,FALSE,"Schedules"}</definedName>
    <definedName name="wrn.Print._.SchG.">{"SchG1",#N/A,FALSE,"Schedules";"SchG2",#N/A,FALSE,"Schedules"}</definedName>
    <definedName name="wrn.Print._.SchH.">{"SchH1",#N/A,FALSE,"Schedules";"SchH2",#N/A,FALSE,"Schedules"}</definedName>
    <definedName name="wrn.Print._.SchI.">{"SchI1",#N/A,FALSE,"Schedules";"SchI2",#N/A,FALSE,"Schedules"}</definedName>
    <definedName name="wrn.Print._.SchJ.">{"SchJ1",#N/A,FALSE,"Schedules";"SchJ2",#N/A,FALSE,"Schedules"}</definedName>
    <definedName name="wrn.Print._.SchK.">{"SchK1",#N/A,FALSE,"Schedules";"SchK2",#N/A,FALSE,"Schedules"}</definedName>
    <definedName name="wrn.Print._.SchL.">{"SchL1",#N/A,FALSE,"Schedules";"SchL2",#N/A,FALSE,"Schedules"}</definedName>
    <definedName name="wrn.print._.schm">{"SchL1",#N/A,FALSE,"Schedules";"SchL2",#N/A,FALSE,"Schedules"}</definedName>
    <definedName name="wrn.Print._.SchM.">{"SchM1",#N/A,FALSE,"Schedules";"SchM2",#N/A,FALSE,"Schedules"}</definedName>
    <definedName name="wrn.Print._.SchN.">{"SchN1",#N/A,FALSE,"Schedules"}</definedName>
    <definedName name="wrn.print._.schp.">{"SchD1",#N/A,FALSE,"Schedules";"SchD2",#N/A,FALSE,"Schedules"}</definedName>
    <definedName name="wrn.print._.schz.">{"SchH1",#N/A,FALSE,"Schedules";"SchH2",#N/A,FALSE,"Schedules"}</definedName>
    <definedName name="wrn.Print._.SchZ..">{"SchE1",#N/A,FALSE,"Schedules";"SchE2",#N/A,FALSE,"Schedules"}</definedName>
    <definedName name="wrn.print._.standalone.">{"standalone1",#N/A,FALSE,"DCFBase";"standalone2",#N/A,FALSE,"DCFBase"}</definedName>
    <definedName name="wrn.Print._.summar">{"Summ1",#N/A,FALSE,"Summary"}</definedName>
    <definedName name="wrn.Print._.Summary.">{"Summ1",#N/A,FALSE,"Summary"}</definedName>
    <definedName name="wrn.print._.summary._.sheets.">{"summary1",#N/A,TRUE,"Comps";"summary2",#N/A,TRUE,"Comps";"summary3",#N/A,TRUE,"Comps"}</definedName>
    <definedName name="wrn.Print._.the._.lot.">{"First Page",#N/A,FALSE,"Surfactants LBO";"Second Page",#N/A,FALSE,"Surfactants LBO"}</definedName>
    <definedName name="wrn.Print._1">{"vi1",#N/A,FALSE,"Financial Statements";"vi2",#N/A,FALSE,"Financial Statements";#N/A,#N/A,FALSE,"DCF"}</definedName>
    <definedName name="wrn.Print._2">{"vi1",#N/A,FALSE,"Financial Statements";"vi2",#N/A,FALSE,"Financial Statements";#N/A,#N/A,FALSE,"DCF"}</definedName>
    <definedName name="wrn.Print._3">{"vi1",#N/A,FALSE,"Financial Statements";"vi2",#N/A,FALSE,"Financial Statements";#N/A,#N/A,FALSE,"DCF"}</definedName>
    <definedName name="wrn.Print._4">{"vi1",#N/A,FALSE,"Financial Statements";"vi2",#N/A,FALSE,"Financial Statements";#N/A,#N/A,FALSE,"DCF"}</definedName>
    <definedName name="wrn.Print._5">{"vi1",#N/A,FALSE,"Financial Statements";"vi2",#N/A,FALSE,"Financial Statements";#N/A,#N/A,FALSE,"DCF"}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CSC.">{"CSC_1",#N/A,FALSE,"CSC Outputs";"CSC_2",#N/A,FALSE,"CSC Outputs"}</definedName>
    <definedName name="wrn.Print_Inputs.">{"Inputs_1",#N/A,FALSE,"Inputs";"Inputs_2",#N/A,FALSE,"Inputs";"Inputs_3",#N/A,FALSE,"Inputs";"Inputs_4",#N/A,FALSE,"Inputs"}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>{"inc1",#N/A,TRUE,"Inc. Statement";"inc2",#N/A,TRUE,"Inc. Statement";"inc3",#N/A,TRUE,"Inc. Statement"}</definedName>
    <definedName name="wrn.PRINT2.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ac.">{#N/A,#N/A,FALSE,"Op-BS";#N/A,#N/A,FALSE,"Assum";#N/A,#N/A,FALSE,"IS";#N/A,#N/A,FALSE,"Syn+Elim";#N/A,#N/A,FALSE,"BSCF";#N/A,#N/A,FALSE,"Blue_IS";#N/A,#N/A,FALSE,"Blue_BSCF";#N/A,#N/A,FALSE,"Ratings"}</definedName>
    <definedName name="wrn.PrintAll.">{"Dom_qty",#N/A,FALSE,"Domestic";"Dom_sell",#N/A,FALSE,"Domestic";"Dom_misc",#N/A,FALSE,"Domestic";"Exp_qty",#N/A,FALSE,"Export";"Exp_sell",#N/A,FALSE,"Export";"Exp_misc",#N/A,FALSE,"Export";"ExpCompSet",#N/A,FALSE,"Export Comp. Sets"}</definedName>
    <definedName name="wrn.Printing._.Report.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}</definedName>
    <definedName name="wrn.Printout.">{"page1",#N/A,FALSE,"Casual RLE";"page2",#N/A,FALSE,"Casual RLE"}</definedName>
    <definedName name="wrn.printqtr.">{"nytasecond",#N/A,FALSE,"NYTQTRS";"nytafirst",#N/A,FALSE,"NYTQTRS";"nytathird",#N/A,FALSE,"NYTQTRS";"nytafourth",#N/A,FALSE,"NYTQTRS";"nytafull",#N/A,FALSE,"NYTQTRS"}</definedName>
    <definedName name="wrn.Productivity.">{"Summary analysis",#N/A,FALSE,"Total";"OCPH analysis",#N/A,FALSE,"Total";"detail analysis",#N/A,FALSE,"Total"}</definedName>
    <definedName name="wrn.Proforma.">{#N/A,#N/A,TRUE,"Overview";#N/A,#N/A,TRUE,"Projections";#N/A,#N/A,TRUE,"Expense Summary";#N/A,#N/A,TRUE,"Revenue Summary";#N/A,#N/A,TRUE,"AOL1";#N/A,#N/A,TRUE,"AOL2";#N/A,#N/A,TRUE,"AOL3";#N/A,#N/A,TRUE,"Web1";#N/A,#N/A,TRUE,"Web2";#N/A,#N/A,TRUE,"Web3";#N/A,#N/A,TRUE,"Permission";#N/A,#N/A,TRUE,"Other Revenue";#N/A,#N/A,TRUE,"Expensens by Line Item"}</definedName>
    <definedName name="wrn.PSS.">{"Annual",#N/A,FALSE,"PSS";"Quarterly Earnings",#N/A,FALSE,"PSS";"Quarterly Margins",#N/A,FALSE,"PSS";"Balance Sheet",#N/A,FALSE,"PSS";"Funds Flow",#N/A,FALSE,"PSS";"Q Sales",#N/A,FALSE,"PSS";"Unit Analysis",#N/A,FALSE,"PSS";"Ratio Analysis",#N/A,FALSE,"PSS";"Comps",#N/A,FALSE,"PSS";"Valuation",#N/A,FALSE,"PSS";"Inventory Analysis",#N/A,FALSE,"PSS"}</definedName>
    <definedName name="wrn.Pulp.">{"Pulp Production",#N/A,FALSE,"Pulp";"Pulp Earnings",#N/A,FALSE,"Pulp"}</definedName>
    <definedName name="wrn.Pump.">{#N/A,#N/A,FALSE,"Assump";#N/A,#N/A,FALSE,"Income";#N/A,#N/A,FALSE,"Balance";#N/A,#N/A,FALSE,"DCF Pump";#N/A,#N/A,FALSE,"Trans Assump";#N/A,#N/A,FALSE,"Combined Income";#N/A,#N/A,FALSE,"Combined Balance"}</definedName>
    <definedName name="wrn.Q._.Report.">{"Quarterly Earnings",#N/A,FALSE,"FTS";"Quarterly Margins",#N/A,FALSE,"FTS";"Q Sales",#N/A,FALSE,"FTS";"Q EBIT",#N/A,FALSE,"FTS";"Unit Analysis",#N/A,FALSE,"FTS";"Inventory Analysis",#N/A,FALSE,"FTS"}</definedName>
    <definedName name="wrn.Q3._.Prof._.Serv._.Summary.">{"Professional Service Summary",#N/A,FALSE,"Q3 Prof Serv"}</definedName>
    <definedName name="wrn.Q3._.Professional._.service._.detail.">{"Professional Service Detail",#N/A,FALSE,"Q3 Prof Serv"}</definedName>
    <definedName name="wrn.Qtr._.Op._.Q1.">{"Qtr Op Mgd Q1",#N/A,FALSE,"Qtr-Op (Mng)";"Qtr Op Rpt Q1",#N/A,FALSE,"Qtr-Op (Rpt)";"Operating Vs Reported",#N/A,FALSE,"Rpt-Op Inc"}</definedName>
    <definedName name="wrn.Qtr._.Op._.Q2.">{"Qtr Op Mgd Q2",#N/A,FALSE,"Qtr-Op (Mng)";"Qtr Op Rpt Q2",#N/A,FALSE,"Qtr-Op (Rpt)";"Operating Vs Reported",#N/A,FALSE,"Rpt-Op Inc"}</definedName>
    <definedName name="wrn.Qtr._.Op._.Q3.">{"Qtr Op Mgd Q3",#N/A,FALSE,"Qtr-Op (Mng)";"Qtr Op Rpt Q3",#N/A,FALSE,"Qtr-Op (Rpt)";"Operating Vs Reported",#N/A,FALSE,"Rpt-Op Inc"}</definedName>
    <definedName name="wrn.Qtr._.Op._.Q4.">{"Qtr Op Mgd Q3",#N/A,FALSE,"Qtr-Op (Mng)";"Qtr Op Rpt Q4",#N/A,FALSE,"Qtr-Op (Rpt)";"Operating Vs Reported",#N/A,FALSE,"Rpt-Op Inc"}</definedName>
    <definedName name="wrn.Qtr._.Op._Q2a.">{"Qtr Op Mgd Q2",#N/A,FALSE,"Qtr-Op (Mng)";"Qtr Op Rpt Q2",#N/A,FALSE,"Qtr-Op (Rpt)";"Operating Vs Reported",#N/A,FALSE,"Rpt-Op Inc"}</definedName>
    <definedName name="wrn.Qtr_.Op._.Q4.">{"Qtr Op Mgd Q3",#N/A,FALSE,"Qtr-Op (Mng)";"Qtr Op Rpt Q4",#N/A,FALSE,"Qtr-Op (Rpt)";"Operating Vs Reported",#N/A,FALSE,"Rpt-Op Inc"}</definedName>
    <definedName name="wrn.QUALITY.">{"DL's_Breakout",#N/A,TRUE,"SSMC(DL's breakout)";"02SSMC_YTD",#N/A,TRUE,"SSMC";"09Qly_CMth",#N/A,TRUE,"Qly";"10Qly_YTD",#N/A,TRUE,"Qly"}</definedName>
    <definedName name="wrn.Quarterly._.Analysis.">{"Quarterly Analysis",#N/A,FALSE,"Income"}</definedName>
    <definedName name="wrn.Quarterly._.Model.">{"Quarterly Model",#N/A,FALSE,"Income"}</definedName>
    <definedName name="wrn.quarterly._.package.">{#N/A,#N/A,FALSE,"COVER PAGE";"TABLE CONTENTS PRT",#N/A,FALSE,"TABLE CONTENTS";"QTR INCOME STATEMENT",#N/A,FALSE,"IS";"UNUSUAL ITEMS QTR",#N/A,FALSE,"UNUSAL ITEMS";"ONGOING PROFIT QTR",#N/A,FALSE,"ONGOING PROFIT";"BSQTR",#N/A,FALSE,"BALSHEET";"CASH FLOW QTR",#N/A,FALSE,"CASH FL WRKST";"REVENUES QTR",#N/A,FALSE,"REVENUES";"EXPENSES QTR",#N/A,FALSE,"Expenses";"TAXES QTR",#N/A,FALSE,"Taxes";"CURRENT ASSETS QTR",#N/A,FALSE,"Current Assets";"LT ASSETS QTR",#N/A,FALSE,"LT ASSET ";"LEASES QTR",#N/A,FALSE,"LEASES";"IDS QTR",#N/A,FALSE,"IDS";"LIAB QTR",#N/A,FALSE,"LIAB";"EQUITY QTR",#N/A,FALSE,"EQUITY";"SHARES&amp;OPTIONS QTR",#N/A,FALSE,"Shares &amp; Options";"BROKERAGE CASH QTR",#N/A,FALSE,"BRKRG ASST CASH FL";"BROKERAGE INTEREST QTR",#N/A,FALSE,"BROKERAGE";"HEADCOUNT QTR",#N/A,FALSE,"HDcount";"QTR METRICS",#N/A,FALSE,"Key Metrics"}</definedName>
    <definedName name="wrn.Reader.">{"Reader",#N/A,FALSE,"Summary";"Reader",#N/A,FALSE,"Buildup";"Reader",#N/A,FALSE,"Financials";"Reader",#N/A,FALSE,"Debt &amp; Other"}</definedName>
    <definedName name="wrn.Reforecast._.Financials.">{#N/A,#N/A,TRUE,"IS 1 &amp; 2 w_Reforecast";#N/A,#N/A,TRUE,"BoD Bal Summ";#N/A,#N/A,TRUE,"Cash Flow";#N/A,#N/A,TRUE,"ComparativePL w_Reforecast";#N/A,#N/A,TRUE,"Days Out"}</definedName>
    <definedName name="wrn.Relevant.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>{#N/A,#N/A,FALSE,"AD_Purch";#N/A,#N/A,FALSE,"Projections";#N/A,#N/A,FALSE,"DCF";#N/A,#N/A,FALSE,"Mkt Val"}</definedName>
    <definedName name="wrn.Remnant.">{#N/A,#N/A,FALSE,"DISTRIBUTION";#N/A,#N/A,FALSE,"1996 BRAND SUMMARY (2)";#N/A,#N/A,FALSE,"1995 BRAND SUMMARY"}</definedName>
    <definedName name="wrn.Rendimientos.">{"RENDIMIENTOS",#N/A,FALSE,"Detallado"}</definedName>
    <definedName name="wrn.rep.">{"Quarterly Income",#N/A,FALSE,"TLB";"Quarterly Margins",#N/A,FALSE,"TLB";"Q Sales",#N/A,FALSE,"TLB";"SQFT",#N/A,FALSE,"TLB";"Units",#N/A,FALSE,"TLB";"Comps",#N/A,FALSE,"TLB"}</definedName>
    <definedName name="wrn.Replacement._.Cost.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>{#N/A,#N/A,FALSE,"Temp Staf_Summary";#N/A,#N/A,FALSE,"ATC Services";#N/A,#N/A,FALSE,"Brannon &amp; Tully";#N/A,#N/A,FALSE,"Debbie";#N/A,#N/A,FALSE,"Alternative";#N/A,#N/A,FALSE,"Mid-States";#N/A,#N/A,FALSE,"United Temp."}</definedName>
    <definedName name="wrn.Report._.2.">{#N/A,#N/A,TRUE,"Pivots-Employee";#N/A,"Scenerio2",TRUE,"Assumptions Summary"}</definedName>
    <definedName name="wrn.report.1">{"summary",#N/A,FALSE,"2000 vs 1999";"detail",#N/A,FALSE,"2000 vs 1999"}</definedName>
    <definedName name="wrn.report.2">{"summary",#N/A,FALSE,"2000 vs 1999";"detail",#N/A,FALSE,"2000 vs 1999"}</definedName>
    <definedName name="wrn.report.new">{"summary",#N/A,FALSE,"2000 vs 1999";"detail",#N/A,FALSE,"2000 vs 1999"}</definedName>
    <definedName name="wrn.report.new.1">{"summary",#N/A,FALSE,"2000 vs 1999";"detail",#N/A,FALSE,"2000 vs 1999"}</definedName>
    <definedName name="wrn.report.new1">{"summary",#N/A,FALSE,"2000 vs 1999";"detail",#N/A,FALSE,"2000 vs 1999"}</definedName>
    <definedName name="wrn.Report_Page.">{"Annual_Income",#N/A,FALSE,"Report Page";"Balance_Cash_Flow",#N/A,FALSE,"Report Page";"Quarterly_Income",#N/A,FALSE,"Report Page"}</definedName>
    <definedName name="wrn.report1">{"summary",#N/A,FALSE,"2000 vs 1999";"detail",#N/A,FALSE,"2000 vs 1999"}</definedName>
    <definedName name="wrn.Report1.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view._.Schedules.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s.">{"Base_rev",#N/A,FALSE,"Proj_IS_Base";"Projrev",#N/A,FALSE,"Proj_IS_wOTLC";"Delta",#N/A,FALSE,"Delta Rev_PV"}</definedName>
    <definedName name="wrn.rprt.">{#N/A,#N/A,FALSE,"A";#N/A,#N/A,FALSE,"B-1";#N/A,#N/A,FALSE,"WACC";#N/A,#N/A,FALSE,"C-1";#N/A,#N/A,FALSE,"C-2";#N/A,#N/A,FALSE,"D-1";#N/A,#N/A,FALSE,"D-2";#N/A,#N/A,FALSE,"D-3"}</definedName>
    <definedName name="wrn.RPU._.Data.">{#N/A,#N/A,FALSE,"Demand";#N/A,#N/A,FALSE,"Revenue";#N/A,#N/A,FALSE,"Intermediation"}</definedName>
    <definedName name="wrn.sales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wrn.sales.">{"sales",#N/A,FALSE,"Sales";"sales existing",#N/A,FALSE,"Sales";"sales rd1",#N/A,FALSE,"Sales";"sales rd2",#N/A,FALSE,"Sales"}</definedName>
    <definedName name="wrn.Sales._.nosplit.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wrn.Sales._.Split.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wrn.SB_PRES.">{#N/A,#N/A,TRUE,"Sheet16"}</definedName>
    <definedName name="wrn.SBEI.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._.Acq..">{#N/A,#N/A,FALSE,"main";#N/A,#N/A,FALSE,"Pooling";#N/A,#N/A,FALSE,"Purchase"}</definedName>
    <definedName name="wrn.SCA._.AcqDisv.">{#N/A,#N/A,FALSE,"main";#N/A,#N/A,FALSE,"Purchase"}</definedName>
    <definedName name="wrn.scorecard._.rpt.">{"scorecard view",#N/A,FALSE,"Scorecard output"}</definedName>
    <definedName name="wrn.sdi.">{#N/A,#N/A,FALSE,"Customer Base";#N/A,#N/A,FALSE,"Workforce";#N/A,#N/A,FALSE,"cur prod";#N/A,#N/A,FALSE,"in-proc";#N/A,#N/A,FALSE,"Trademark"}</definedName>
    <definedName name="wrn.Segments.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UIMIENTO.">{#N/A,#N/A,FALSE,"CRDOS";#N/A,#N/A,FALSE,"CBALANCE";#N/A,#N/A,FALSE,"CPR97-1";#N/A,#N/A,FALSE,"CPR98-7 ";#N/A,#N/A,FALSE,"RATIOS";#N/A,#N/A,FALSE,"VENTAS (1)"}</definedName>
    <definedName name="wrn.sens.">{"sens1\",#N/A,FALSE,"PF";"sens2",#N/A,FALSE,"PF";"sens3",#N/A,FALSE,"PF";"sens4",#N/A,FALSE,"PF"}</definedName>
    <definedName name="wrn.Sensitivity._.Analysis.">{"Sensitivity Tables",#N/A,FALSE,"DCF"}</definedName>
    <definedName name="wrn.SHEET.">{#N/A,#N/A,FALSE,"a"}</definedName>
    <definedName name="wrn.SKSCS1.">{#N/A,#N/A,FALSE,"Antony Financials";#N/A,#N/A,FALSE,"Cowboy Financials";#N/A,#N/A,FALSE,"Combined";#N/A,#N/A,FALSE,"Valuematrix";#N/A,#N/A,FALSE,"DCFAntony";#N/A,#N/A,FALSE,"DCFCowboy";#N/A,#N/A,FALSE,"DCFCombined"}</definedName>
    <definedName name="wrn.SPCS.">{"DL's_Breakout",#N/A,TRUE,"SSMC(DL's breakout)";"02SSMC_YTD",#N/A,TRUE,"SSMC";"13SPCS_CMth",#N/A,TRUE,"SPCS";"14SPCS_YTD",#N/A,TRUE,"SPCS";"15HR_CMth",#N/A,TRUE,"HR";"16HR_YTD",#N/A,TRUE,"HR";"17Purch_CMth",#N/A,TRUE,"Purch";"18Purch_YTD",#N/A,TRUE,"Purch";"19Log_CMth",#N/A,TRUE,"Log";"20Log_YTD",#N/A,TRUE,"Log"}</definedName>
    <definedName name="wrn.Spring._.LBO.">{#N/A,#N/A,TRUE,"Cover";#N/A,#N/A,TRUE,"Control";#N/A,#N/A,TRUE,"Plan phasing (IN)";#N/A,#N/A,TRUE,"--- FINANCIALS (OUT) ---";#N/A,#N/A,TRUE,"Group (post disposals)";#N/A,#N/A,TRUE,"Group";#N/A,#N/A,TRUE,"Cellular Division";#N/A,#N/A,TRUE,"Industrials Division";#N/A,#N/A,TRUE,"NonWovens Division";#N/A,#N/A,TRUE,"--- PLAN (IN) ---";#N/A,#N/A,TRUE,"Cellular Plan (IN)";#N/A,#N/A,TRUE,"Industrials Plan (IN)";#N/A,#N/A,TRUE,"Sourcing sav (IN)";#N/A,#N/A,TRUE,"Property (IN)";#N/A,#N/A,TRUE,"Disposals &amp; Tax (IN)";#N/A,#N/A,TRUE,"Capex Plan (IN)";#N/A,#N/A,TRUE,"Capex Details (IN)";#N/A,#N/A,TRUE,"Corporate Costs (IN)";#N/A,#N/A,TRUE,"--- FINANCIALS (IN) ---";#N/A,#N/A,TRUE,"Cellular (UK)";#N/A,#N/A,TRUE,"Cellular (Europe)";#N/A,#N/A,TRUE,"Cellular (RoW) (IN)";#N/A,#N/A,TRUE,"Sheets (IN)";#N/A,#N/A,TRUE,"Compounding (IN)";#N/A,#N/A,TRUE,"Industrials (other) (IN)";#N/A,#N/A,TRUE,"NonWovens (IN)"}</definedName>
    <definedName name="wrn.sspall.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.">{"FCB_ALL",#N/A,FALSE,"FCB";"GREY_ALL",#N/A,FALSE,"GREY"}</definedName>
    <definedName name="wrn.Standard.">{#N/A,#N/A,FALSE,"Market Share";#N/A,#N/A,FALSE,"dcf";#N/A,#N/A,FALSE,"Base"}</definedName>
    <definedName name="wrn.step_el.">{"stepel",#N/A,FALSE,"AHFSTEP"}</definedName>
    <definedName name="wrn.sum.">{"Opsys",#N/A,FALSE,"NPV_OPsys";"NT",#N/A,FALSE,"NPV_NT";"DevP",#N/A,FALSE,"NPV_DevPdt";"Office",#N/A,FALSE,"NPV_Office"}</definedName>
    <definedName name="wrn.sum2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wrn.summary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wrn.SUMMARY.">{"SUMMARY",#N/A,FALSE,"Summary"}</definedName>
    <definedName name="wrn.Summary._.Report._.by._.Month.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Summary._.Schedules.">{"Schedule",#N/A,FALSE,"Receipt";"Disbursement Actual",#N/A,FALSE,"Disburse";"Disbursement Forecast",#N/A,FALSE,"Disburse"}</definedName>
    <definedName name="wrn.SummaryPgs.">{#N/A,#N/A,FALSE,"CreditStat";#N/A,#N/A,FALSE,"SPbrkup";#N/A,#N/A,FALSE,"MerSPsyn";#N/A,#N/A,FALSE,"MerSPwKCsyn";#N/A,#N/A,FALSE,"MerSPwKCsyn (2)";#N/A,#N/A,FALSE,"CreditStat (2)"}</definedName>
    <definedName name="wrn.SUPP.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Tables.">{"view1",#N/A,FALSE,"Tables";"view2",#N/A,FALSE,"Tables";"view3",#N/A,FALSE,"Tables"}</definedName>
    <definedName name="wrn.Target.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>{#N/A,#N/A,FALSE,"Tar-Ass";#N/A,#N/A,FALSE,"Tar-IS";#N/A,#N/A,FALSE,"Tar-BS";#N/A,#N/A,FALSE,"Tar-Adg BS";#N/A,#N/A,FALSE,"Tar-CF"}</definedName>
    <definedName name="wrn.TargetVal.">{#N/A,#N/A,TRUE,"Val - sum";#N/A,#N/A,TRUE,"Val - Sum1";#N/A,#N/A,TRUE,"Val - sum2";#N/A,#N/A,TRUE,"Val - Sum3";#N/A,#N/A,TRUE,"Tar-DCF";#N/A,#N/A,TRUE,"Tar-Val LBO";#N/A,#N/A,TRUE,"Tar-Mult Val"}</definedName>
    <definedName name="wrn.Teacher.">{"Teacher",#N/A,FALSE,"Summary";"Teacher",#N/A,FALSE,"Assumptions";"Teacher",#N/A,FALSE,"Buildup";"Teacher",#N/A,FALSE,"Financials";"Teacher",#N/A,FALSE,"Debt &amp; Other"}</definedName>
    <definedName name="wrn.TECHNOLOGY.">{"DL's_Breakout",#N/A,TRUE,"SSMC(DL's breakout)";"02SSMC_YTD",#N/A,TRUE,"SSMC";"23TECH_CMth",#N/A,TRUE,"TECH";"24TECH_YTD",#N/A,TRUE,"TECH"}</definedName>
    <definedName name="wrn.tel2.">{#N/A,#N/A,FALSE,"FS_Summary";#N/A,#N/A,FALSE,"Tel_Summary";#N/A,#N/A,FALSE,"Tomahawk";#N/A,#N/A,FALSE,"Medical Marketing";#N/A,#N/A,FALSE,"DIMAC";#N/A,#N/A,FALSE,"Epsilon";#N/A,#N/A,FALSE,"Direct";#N/A,#N/A,FALSE,"DIMAC(2)"}</definedName>
    <definedName name="wrn.telem.">{#N/A,#N/A,FALSE,"FS_Summary";#N/A,#N/A,FALSE,"Tomahawk";#N/A,#N/A,FALSE,"Medical Marketing";#N/A,#N/A,FALSE,"Epsilon";#N/A,#N/A,FALSE,"DIMAC";#N/A,#N/A,FALSE,"Direct";#N/A,#N/A,FALSE,"DIMAC(2)"}</definedName>
    <definedName name="wrn.TIF.">{"Quarterly Income",#N/A,FALSE,"TIF";"Annual Income",#N/A,FALSE,"TIF";"Quarterly Margins",#N/A,FALSE,"TIF";"Balance Sheet",#N/A,FALSE,"TIF";"Funds Flow",#N/A,FALSE,"TIF";"Q Sales",#N/A,FALSE,"TIF";"Units",#N/A,FALSE,"TIF";"SQFT",#N/A,FALSE,"TIF";"Inventory",#N/A,FALSE,"TIF";"Sales Analysis",#N/A,FALSE,"TIF"}</definedName>
    <definedName name="wrn.TMCALL.">{"tmccash",#N/A,FALSE,"INCX";"tmcinc",#N/A,FALSE,"INCX";"tmcpretx",#N/A,FALSE,"INCX";"tmcadrev",#N/A,FALSE,"INCX";"tmcbooks",#N/A,FALSE,"INCX"}</definedName>
    <definedName name="wrn.todo.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dos.">{"PAS",#N/A,TRUE,"FIBV";"ACT",#N/A,TRUE,"FIBV";"RdoH",#N/A,TRUE,"FIBV";"RdoD",#N/A,TRUE,"FIBV";"RDOMES",#N/A,TRUE,"CPR";"BALMES",#N/A,TRUE,"CPR";"CPRRES",#N/A,TRUE,"CPR";"CPRBAL",#N/A,TRUE,"CPR"}</definedName>
    <definedName name="wrn.TOOL.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._.PORTION.">{"TOP PORTION",#N/A,FALSE,"0895"}</definedName>
    <definedName name="wrn.TOP._.PORTION._1">{"TOP PORTION",#N/A,FALSE,"0895"}</definedName>
    <definedName name="wrn.TOP._.PORTION._2">{"TOP PORTION",#N/A,FALSE,"0895"}</definedName>
    <definedName name="wrn.TOP._.PORTION._3">{"TOP PORTION",#N/A,FALSE,"0895"}</definedName>
    <definedName name="wrn.TOP._.PORTION._4">{"TOP PORTION",#N/A,FALSE,"0895"}</definedName>
    <definedName name="wrn.TOP._.PORTION._5">{"TOP PORTION",#N/A,FALSE,"0895"}</definedName>
    <definedName name="wrn.TOTAL.">{"SUMMARY",#N/A,TRUE,"Summary";"FULLSEAS",#N/A,TRUE,"Full &amp; Seas Emp";"TEMPS",#N/A,TRUE,"Temps";"CONTRACTORS",#N/A,TRUE,"Contractors";"CAPEXA",#N/A,TRUE,"Capital Expenditures";"CAPEXB",#N/A,TRUE,"Capital Expenditures"}</definedName>
    <definedName name="wrn.total1.">{#N/A,#N/A,FALSE,"CRDOS";#N/A,#N/A,FALSE,"Ing.Ord";#N/A,#N/A,FALSE,"Otros.Ing.Ord.";#N/A,#N/A,FALSE,"Personal";#N/A,#N/A,FALSE,"Comisiones";#N/A,#N/A,FALSE,"Materiales";#N/A,#N/A,FALSE,"Imprenta";#N/A,#N/A,FALSE,"Distribución";#N/A,#N/A,FALSE,"Marketing";#N/A,#N/A,FALSE,"Serv.Ext.Com.";#N/A,#N/A,FALSE,"Otros Serv.Ext. ";#N/A,#N/A,FALSE,"Viaje";#N/A,#N/A,FALSE,"Alquileres";#N/A,#N/A,FALSE,"Envío ";#N/A,#N/A,FALSE,"Otros Gtos. ";#N/A,#N/A,FALSE,"Provis.";#N/A,#N/A,FALSE,"Amortiz. ";#N/A,#N/A,FALSE,"Ingr.Finac.";#N/A,#N/A,FALSE,"Gtos.Finac. ";#N/A,#N/A,FALSE,"Ing.Extra ";#N/A,#N/A,FALSE,"Gtos.Extra "}</definedName>
    <definedName name="wrn.Totar.">{"Totax",#N/A,FALSE,"Sheet1";#N/A,#N/A,FALSE,"Law Output"}</definedName>
    <definedName name="wrn.Totar._1">{"Totax",#N/A,FALSE,"Sheet1";#N/A,#N/A,FALSE,"Law Output"}</definedName>
    <definedName name="wrn.Totar._2">{"Totax",#N/A,FALSE,"Sheet1";#N/A,#N/A,FALSE,"Law Output"}</definedName>
    <definedName name="wrn.Totar._3">{"Totax",#N/A,FALSE,"Sheet1";#N/A,#N/A,FALSE,"Law Output"}</definedName>
    <definedName name="wrn.Totar._4">{"Totax",#N/A,FALSE,"Sheet1";#N/A,#N/A,FALSE,"Law Output"}</definedName>
    <definedName name="wrn.Totar._5">{"Totax",#N/A,FALSE,"Sheet1";#N/A,#N/A,FALSE,"Law Output"}</definedName>
    <definedName name="wrn.Tout._.Sauf._.BG.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e._.analysis.">{#N/A,#N/A,FALSE,"Volume Inputs";#N/A,#N/A,FALSE,"MCF";#N/A,#N/A,FALSE,"Detail Trade Calc.";#N/A,#N/A,FALSE,"Participation Rates";#N/A,#N/A,FALSE,"Galvin Rpt.";#N/A,#N/A,FALSE,"Glvn Rpt Brdg-96PLAN vs. 97";#N/A,#N/A,FALSE,"Glvn Rpt Brdg-96OL vs. 97";#N/A,#N/A,FALSE,"Branded Summary";#N/A,#N/A,FALSE,"Accrual Funds"}</definedName>
    <definedName name="wrn.Transaction._.Summary.">{#N/A,#N/A,FALSE,"1a-1d; 2a-2c; 3a, 3b Summary";#N/A,#N/A,FALSE,"1d Valuation Variations";#N/A,#N/A,FALSE,"1d Credit Variations";#N/A,#N/A,FALSE,"1d VOD Buyout Variations"}</definedName>
    <definedName name="wrn.TransPrcd_123.">{#N/A,#N/A,TRUE,"TransPrcd 1";#N/A,#N/A,TRUE,"TransPrcd 2";#N/A,#N/A,TRUE,"TransPrcd 3"}</definedName>
    <definedName name="wrn.trball.">{"trbcash",#N/A,FALSE,"INCPF";"trbinc",#N/A,FALSE,"INCPF";"trbchic",#N/A,FALSE,"INCPF";"trbadrev",#N/A,FALSE,"INCPF";"trbstns",#N/A,FALSE,"INCPF";"trbtvstns",#N/A,FALSE,"INCPF"}</definedName>
    <definedName name="wrn.tresfax.">{#N/A,#N/A,FALSE,"Printing Output";#N/A,#N/A,FALSE,"BS";#N/A,#N/A,FALSE,"CF"}</definedName>
    <definedName name="wrn.Triangle.">{#N/A,#N/A,FALSE,"Triangle Total";#N/A,#N/A,FALSE,"Triangle LLC";#N/A,#N/A,FALSE,"Triangle LLC";#N/A,#N/A,FALSE,"Teeside"}</definedName>
    <definedName name="wrn.TUNE._.Model.">{#N/A,#N/A,FALSE,"IS";#N/A,#N/A,FALSE,"One pager";#N/A,#N/A,FALSE,"Revenue Detail"}</definedName>
    <definedName name="wrn.Tweety.">{#N/A,#N/A,FALSE,"A&amp;E";#N/A,#N/A,FALSE,"HighTop";#N/A,#N/A,FALSE,"JG";#N/A,#N/A,FALSE,"RI";#N/A,#N/A,FALSE,"woHT";#N/A,#N/A,FALSE,"woHT&amp;JG"}</definedName>
    <definedName name="wrn.Typhoon.">{"Agg Output",#N/A,FALSE,"Operational Drivers Output";"NW Output",#N/A,FALSE,"Operational Drivers Output";"South Output",#N/A,FALSE,"Operational Drivers Output";"Central Output",#N/A,FALSE,"Operational Drivers Output"}</definedName>
    <definedName name="wrn.UIPICSA.">{#N/A,#N/A,FALSE,"BalanceResumen";#N/A,#N/A,FALSE,"EOAF "}</definedName>
    <definedName name="wrn.UK._.GAAP._.BS.">{"UKGAAP balance sheet",#N/A,FALSE,"Balance Sheet"}</definedName>
    <definedName name="wrn.uni">{"Units A",#N/A,FALSE,"FY95SLS";"Units B",#N/A,FALSE,"FY95SLS"}</definedName>
    <definedName name="wrn.Units.">{"Units A",#N/A,FALSE,"FY95SLS";"Units B",#N/A,FALSE,"FY95SLS"}</definedName>
    <definedName name="wrn.upstairs.">{"histincome",#N/A,FALSE,"hyfins";"closing balance",#N/A,FALSE,"hyfins"}</definedName>
    <definedName name="wrn.US._.Dollar.">{"US Dollars",#N/A,TRUE,"PPD";"US Dollar",#N/A,TRUE,"Anaquest";"US Dollar",#N/A,TRUE,"Delta";"US Dollar",#N/A,TRUE,"INO"}</definedName>
    <definedName name="wrn.VALUATION.">{"Summary",#N/A,FALSE,"Summary";"Country",#N/A,FALSE,"By Country";"Charts",#N/A,FALSE," Charts"}</definedName>
    <definedName name="wrn.Valuation._.Committee.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Package._.1.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Worksheets.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1">{#N/A,#N/A,FALSE,"Valuation Assumptions";#N/A,#N/A,FALSE,"Summary";#N/A,#N/A,FALSE,"DCF";#N/A,#N/A,FALSE,"Valuation";#N/A,#N/A,FALSE,"WACC";#N/A,#N/A,FALSE,"UBVH";#N/A,#N/A,FALSE,"Free Cash Flow"}</definedName>
    <definedName name="wrn.VALUATION._2">{#N/A,#N/A,FALSE,"Valuation Assumptions";#N/A,#N/A,FALSE,"Summary";#N/A,#N/A,FALSE,"DCF";#N/A,#N/A,FALSE,"Valuation";#N/A,#N/A,FALSE,"WACC";#N/A,#N/A,FALSE,"UBVH";#N/A,#N/A,FALSE,"Free Cash Flow"}</definedName>
    <definedName name="wrn.VALUATION._3">{#N/A,#N/A,FALSE,"Valuation Assumptions";#N/A,#N/A,FALSE,"Summary";#N/A,#N/A,FALSE,"DCF";#N/A,#N/A,FALSE,"Valuation";#N/A,#N/A,FALSE,"WACC";#N/A,#N/A,FALSE,"UBVH";#N/A,#N/A,FALSE,"Free Cash Flow"}</definedName>
    <definedName name="wrn.VALUATION._4">{#N/A,#N/A,FALSE,"Valuation Assumptions";#N/A,#N/A,FALSE,"Summary";#N/A,#N/A,FALSE,"DCF";#N/A,#N/A,FALSE,"Valuation";#N/A,#N/A,FALSE,"WACC";#N/A,#N/A,FALSE,"UBVH";#N/A,#N/A,FALSE,"Free Cash Flow"}</definedName>
    <definedName name="wrn.VALUATION._5">{#N/A,#N/A,FALSE,"Valuation Assumptions";#N/A,#N/A,FALSE,"Summary";#N/A,#N/A,FALSE,"DCF";#N/A,#N/A,FALSE,"Valuation";#N/A,#N/A,FALSE,"WACC";#N/A,#N/A,FALSE,"UBVH";#N/A,#N/A,FALSE,"Free Cash Flow"}</definedName>
    <definedName name="wrn.VARAN.">{#N/A,#N/A,FALSE,"TRESO ZONE";#N/A,#N/A,FALSE,"TRESO BRAZIL";#N/A,#N/A,FALSE,"TRESO SANTA ROSA";#N/A,#N/A,FALSE,"TRESO LOS FUNDOS";#N/A,#N/A,FALSE,"TRESO PETRA";#N/A,#N/A,FALSE,"TRESO EQUATOR";#N/A,#N/A,FALSE,"TRESO BONPROLE"}</definedName>
    <definedName name="wrn.Variance._.3.">{"Variance Q3",#N/A,FALSE,"Var"}</definedName>
    <definedName name="wrn.Variance._.Q1.">{"Variance Q1",#N/A,FALSE,"Var"}</definedName>
    <definedName name="wrn.Variance._.Q2.">{"Variance Q2",#N/A,FALSE,"Var"}</definedName>
    <definedName name="wrn.Variance._.Q3.">{"Variance Q3",#N/A,FALSE,"Var"}</definedName>
    <definedName name="wrn.Variance._.Q4">{"Variance Q4",#N/A,FALSE,"Var"}</definedName>
    <definedName name="wrn.Variance._.Q4.">{"Variance Q4",#N/A,FALSE,"Var"}</definedName>
    <definedName name="wrn.vd.">{#N/A,#N/A,TRUE,"BT M200 da 10x20"}</definedName>
    <definedName name="wrn.Wacc.">{"Area1",#N/A,FALSE,"OREWACC";"Area2",#N/A,FALSE,"OREWACC"}</definedName>
    <definedName name="wrn.whole._.document.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Shabang.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>{#N/A,#N/A,FALSE,"FACTSHEETS";#N/A,#N/A,FALSE,"pump";#N/A,#N/A,FALSE,"filter"}</definedName>
    <definedName name="wrn.wpoall.">{"wpocash",#N/A,FALSE,"WPOALLT";"wpoinc",#N/A,FALSE,"WPOALLT";"wpoexcl",#N/A,FALSE,"WPOALLT";"wpocable",#N/A,FALSE,"WPOALLT";"wpobroad",#N/A,FALSE,"WPOALLT";"wpopost",#N/A,FALSE,"WPOALLT";"wponwsweek",#N/A,FALSE,"WPOALLT"}</definedName>
    <definedName name="wrn.WSTS._.Trade._.Statistics.">{#N/A,#N/A,FALSE,"Table of Contents";#N/A,#N/A,FALSE,"Overview";#N/A,#N/A,FALSE,"Data"}</definedName>
    <definedName name="wrn1.history">{#N/A,#N/A,FALSE,"model"}</definedName>
    <definedName name="wrn1.supp.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3.histroic">{#N/A,#N/A,FALSE,"model"}</definedName>
    <definedName name="wrnn">{#N/A,#N/A,FALSE,"PERSONAL";#N/A,#N/A,FALSE,"explotación";#N/A,#N/A,FALSE,"generales"}</definedName>
    <definedName name="wrvg">{#N/A,#N/A,TRUE,"Pivots-Employee";#N/A,"Scenerio2",TRUE,"Assumptions Summary"}</definedName>
    <definedName name="wvu.cash.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w.Rele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w">{"UKGAAP balance sheet",#N/A,FALSE,"Balance Sheet"}</definedName>
    <definedName name="www_1">{"divisions",#N/A,TRUE,"Drivers";"PandL_Ratios",#N/A,TRUE,"P&amp;L"}</definedName>
    <definedName name="www_2">{"divisions",#N/A,TRUE,"Drivers";"PandL_Ratios",#N/A,TRUE,"P&amp;L"}</definedName>
    <definedName name="www_3">{"divisions",#N/A,TRUE,"Drivers";"PandL_Ratios",#N/A,TRUE,"P&amp;L"}</definedName>
    <definedName name="www_4">{"divisions",#N/A,TRUE,"Drivers";"PandL_Ratios",#N/A,TRUE,"P&amp;L"}</definedName>
    <definedName name="www_5">{"divisions",#N/A,TRUE,"Drivers";"PandL_Ratios",#N/A,TRUE,"P&amp;L"}</definedName>
    <definedName name="wwwe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w">{#N/A,#N/A,FALSE,"Cash Flow"}</definedName>
    <definedName name="xc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xcvcvb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xczvzs">{"Units A",#N/A,FALSE,"FY95SLS";"Units B",#N/A,FALSE,"FY95SLS"}</definedName>
    <definedName name="xdfgh">{"Units A",#N/A,FALSE,"FY95SLS";"Units B",#N/A,FALSE,"FY95SLS"}</definedName>
    <definedName name="xdxdxdx">{"Units A",#N/A,FALSE,"FY95SLS";"Units B",#N/A,FALSE,"FY95SLS"}</definedName>
    <definedName name="XLSIMPARAM">{"Param","Uncertainty!$B$26","NPV","1,000","1","3","1","level","Uncertainty!$E$12:$H$12","Uncertainty!$B$12"}</definedName>
    <definedName name="XLSIMSIM">{"Sim",1,"Output 1","'Incremental Baxter'!$C$47","1","2","100","0"}</definedName>
    <definedName name="XREF_COLUMN_15">'[50]mef-Certificados 31.07.04'!$X$1:$X$65536</definedName>
    <definedName localSheetId="0" name="XREF_COLUMN_23">'[51]A.1.1.'!#REF!</definedName>
    <definedName name="XREF_COLUMN_23">'[51]A.1.1.'!#REF!</definedName>
    <definedName localSheetId="0" name="XREF_COLUMN_36">'[51]A.1.1.'!#REF!</definedName>
    <definedName name="XREF_COLUMN_36">'[51]A.1.1.'!#REF!</definedName>
    <definedName localSheetId="0" name="XREF_COLUMN_37">'[51]A.1.1.'!#REF!</definedName>
    <definedName name="XREF_COLUMN_37">'[51]A.1.1.'!#REF!</definedName>
    <definedName name="XRefColumnsCount">2</definedName>
    <definedName localSheetId="0" name="XRefCopy1">[52]DM!#REF!</definedName>
    <definedName name="XRefCopy1">[52]DM!#REF!</definedName>
    <definedName localSheetId="0" name="XRefCopy10Row">[53]XREF!#REF!</definedName>
    <definedName name="XRefCopy10Row">[53]XREF!#REF!</definedName>
    <definedName localSheetId="0" name="XRefCopy11Row">[53]XREF!#REF!</definedName>
    <definedName name="XRefCopy11Row">[53]XREF!#REF!</definedName>
    <definedName localSheetId="0" name="XRefCopy12Row">[53]XREF!#REF!</definedName>
    <definedName name="XRefCopy12Row">[53]XREF!#REF!</definedName>
    <definedName localSheetId="0" name="XRefCopy13Row">[53]XREF!#REF!</definedName>
    <definedName name="XRefCopy13Row">[53]XREF!#REF!</definedName>
    <definedName localSheetId="0" name="XRefCopy14">'[54]cierre (ctas. resultados)'!#REF!</definedName>
    <definedName name="XRefCopy14">'[54]cierre (ctas. resultados)'!#REF!</definedName>
    <definedName localSheetId="0" name="XRefCopy14Row">[53]XREF!#REF!</definedName>
    <definedName name="XRefCopy14Row">[53]XREF!#REF!</definedName>
    <definedName localSheetId="0" name="XRefCopy15Row">[53]XREF!#REF!</definedName>
    <definedName name="XRefCopy15Row">[53]XREF!#REF!</definedName>
    <definedName localSheetId="0" name="XRefCopy16Row">[53]XREF!#REF!</definedName>
    <definedName name="XRefCopy16Row">[53]XREF!#REF!</definedName>
    <definedName localSheetId="0" name="XRefCopy17Row">[53]XREF!#REF!</definedName>
    <definedName name="XRefCopy17Row">[53]XREF!#REF!</definedName>
    <definedName name="XRefCopy18">'[50]mef-Certificados 31.07.04'!$W$78</definedName>
    <definedName localSheetId="0" name="XRefCopy18Row">[53]XREF!#REF!</definedName>
    <definedName name="XRefCopy18Row">[53]XREF!#REF!</definedName>
    <definedName localSheetId="0" name="XRefCopy19Row">[55]XREF!#REF!</definedName>
    <definedName name="XRefCopy19Row">[55]XREF!#REF!</definedName>
    <definedName localSheetId="0" name="XRefCopy26Row">[53]XREF!#REF!</definedName>
    <definedName name="XRefCopy26Row">[53]XREF!#REF!</definedName>
    <definedName localSheetId="0" name="XRefCopy29Row">[53]XREF!#REF!</definedName>
    <definedName name="XRefCopy29Row">[53]XREF!#REF!</definedName>
    <definedName localSheetId="0" name="XRefCopy36">'[54]cierre (ctas. resultados)'!#REF!</definedName>
    <definedName name="XRefCopy36">'[54]cierre (ctas. resultados)'!#REF!</definedName>
    <definedName localSheetId="0" name="XRefCopy37">'[54]cierre (ctas. resultados)'!#REF!</definedName>
    <definedName name="XRefCopy37">'[54]cierre (ctas. resultados)'!#REF!</definedName>
    <definedName localSheetId="0" name="XRefCopy38">'[54]cierre (ctas. resultados)'!#REF!</definedName>
    <definedName name="XRefCopy38">'[54]cierre (ctas. resultados)'!#REF!</definedName>
    <definedName localSheetId="0" name="XRefCopy39">[56]Altas!#REF!</definedName>
    <definedName name="XRefCopy39">[56]Altas!#REF!</definedName>
    <definedName localSheetId="0" name="XRefCopy40">[56]Altas!#REF!</definedName>
    <definedName name="XRefCopy40">[56]Altas!#REF!</definedName>
    <definedName localSheetId="0" name="XRefCopy40Row">[53]XREF!#REF!</definedName>
    <definedName name="XRefCopy40Row">[53]XREF!#REF!</definedName>
    <definedName localSheetId="0" name="XRefCopy42">[57]Cálculo!#REF!</definedName>
    <definedName name="XRefCopy42">[57]Cálculo!#REF!</definedName>
    <definedName localSheetId="0" name="XRefCopy44Row">[54]XREF!#REF!</definedName>
    <definedName name="XRefCopy44Row">[54]XREF!#REF!</definedName>
    <definedName localSheetId="0" name="XRefCopy46">[57]Cálculo!#REF!</definedName>
    <definedName name="XRefCopy46">[57]Cálculo!#REF!</definedName>
    <definedName localSheetId="0" name="XRefCopy47">[57]Cálculo!#REF!</definedName>
    <definedName name="XRefCopy47">[57]Cálculo!#REF!</definedName>
    <definedName localSheetId="0" name="XRefCopy48">[57]Cálculo!#REF!</definedName>
    <definedName name="XRefCopy48">[57]Cálculo!#REF!</definedName>
    <definedName localSheetId="0" name="XRefCopy4Row">[53]XREF!#REF!</definedName>
    <definedName name="XRefCopy4Row">[53]XREF!#REF!</definedName>
    <definedName name="XRefCopy52">'[50]mef-Certificados 31.07.04'!$W$71</definedName>
    <definedName localSheetId="0" name="XRefCopy52Row">[53]XREF!#REF!</definedName>
    <definedName name="XRefCopy52Row">[53]XREF!#REF!</definedName>
    <definedName localSheetId="0" name="XRefCopy5Row">[53]XREF!#REF!</definedName>
    <definedName name="XRefCopy5Row">[53]XREF!#REF!</definedName>
    <definedName localSheetId="0" name="XRefCopy6Row">[53]XREF!#REF!</definedName>
    <definedName name="XRefCopy6Row">[53]XREF!#REF!</definedName>
    <definedName localSheetId="0" name="XRefCopy7Row">[53]XREF!#REF!</definedName>
    <definedName name="XRefCopy7Row">[53]XREF!#REF!</definedName>
    <definedName localSheetId="0" name="XRefCopy8Row">[53]XREF!#REF!</definedName>
    <definedName name="XRefCopy8Row">[53]XREF!#REF!</definedName>
    <definedName localSheetId="0" name="XRefCopy9Row">[53]XREF!#REF!</definedName>
    <definedName name="XRefCopy9Row">[53]XREF!#REF!</definedName>
    <definedName name="XRefCopyRangeCount">1</definedName>
    <definedName localSheetId="0" name="XRefPaste10Row">[53]XREF!#REF!</definedName>
    <definedName name="XRefPaste10Row">[53]XREF!#REF!</definedName>
    <definedName localSheetId="0" name="XRefPaste11Row">[53]XREF!#REF!</definedName>
    <definedName name="XRefPaste11Row">[53]XREF!#REF!</definedName>
    <definedName localSheetId="0" name="XRefPaste12Row">[53]XREF!#REF!</definedName>
    <definedName name="XRefPaste12Row">[53]XREF!#REF!</definedName>
    <definedName localSheetId="0" name="XRefPaste13Row">[53]XREF!#REF!</definedName>
    <definedName name="XRefPaste13Row">[53]XREF!#REF!</definedName>
    <definedName localSheetId="0" name="XRefPaste14Row">[53]XREF!#REF!</definedName>
    <definedName name="XRefPaste14Row">[53]XREF!#REF!</definedName>
    <definedName localSheetId="0" name="XRefPaste15Row">[53]XREF!#REF!</definedName>
    <definedName name="XRefPaste15Row">[53]XREF!#REF!</definedName>
    <definedName name="XRefPaste16">'[50]mef-Certificados 31.07.04'!$W$79</definedName>
    <definedName localSheetId="0" name="XRefPaste16Row">[53]XREF!#REF!</definedName>
    <definedName name="XRefPaste16Row">[53]XREF!#REF!</definedName>
    <definedName localSheetId="0" name="XRefPaste17Row">[56]XREF!#REF!</definedName>
    <definedName name="XRefPaste17Row">[56]XREF!#REF!</definedName>
    <definedName localSheetId="0" name="XRefPaste18Row">[56]XREF!#REF!</definedName>
    <definedName name="XRefPaste18Row">[56]XREF!#REF!</definedName>
    <definedName localSheetId="0" name="XRefPaste19Row">[55]XREF!#REF!</definedName>
    <definedName name="XRefPaste19Row">[55]XREF!#REF!</definedName>
    <definedName localSheetId="0" name="XRefPaste20Row">[56]XREF!#REF!</definedName>
    <definedName name="XRefPaste20Row">[56]XREF!#REF!</definedName>
    <definedName localSheetId="0" name="XRefPaste21Row">[56]XREF!#REF!</definedName>
    <definedName name="XRefPaste21Row">[56]XREF!#REF!</definedName>
    <definedName localSheetId="0" name="XRefPaste22Row">[56]XREF!#REF!</definedName>
    <definedName name="XRefPaste22Row">[56]XREF!#REF!</definedName>
    <definedName localSheetId="0" name="XRefPaste23Row">[56]XREF!#REF!</definedName>
    <definedName name="XRefPaste23Row">[56]XREF!#REF!</definedName>
    <definedName localSheetId="0" name="XRefPaste24Row">[56]XREF!#REF!</definedName>
    <definedName name="XRefPaste24Row">[56]XREF!#REF!</definedName>
    <definedName localSheetId="0" name="XRefPaste25Row">[56]XREF!#REF!</definedName>
    <definedName name="XRefPaste25Row">[56]XREF!#REF!</definedName>
    <definedName localSheetId="0" name="XRefPaste26Row">[56]XREF!#REF!</definedName>
    <definedName name="XRefPaste26Row">[56]XREF!#REF!</definedName>
    <definedName localSheetId="0" name="XRefPaste27Row">[56]XREF!#REF!</definedName>
    <definedName name="XRefPaste27Row">[56]XREF!#REF!</definedName>
    <definedName localSheetId="0" name="XRefPaste28Row">[56]XREF!#REF!</definedName>
    <definedName name="XRefPaste28Row">[56]XREF!#REF!</definedName>
    <definedName localSheetId="0" name="XRefPaste29Row">[53]XREF!#REF!</definedName>
    <definedName name="XRefPaste29Row">[53]XREF!#REF!</definedName>
    <definedName localSheetId="0" name="XRefPaste32Row">[53]XREF!#REF!</definedName>
    <definedName name="XRefPaste32Row">[53]XREF!#REF!</definedName>
    <definedName localSheetId="0" name="XRefPaste3Row">[53]XREF!#REF!</definedName>
    <definedName name="XRefPaste3Row">[53]XREF!#REF!</definedName>
    <definedName localSheetId="0" name="XRefPaste4Row">[53]XREF!#REF!</definedName>
    <definedName name="XRefPaste4Row">[53]XREF!#REF!</definedName>
    <definedName localSheetId="0" name="XRefPaste54Row">[53]XREF!#REF!</definedName>
    <definedName name="XRefPaste54Row">[53]XREF!#REF!</definedName>
    <definedName localSheetId="0" name="XRefPaste55Row">[53]XREF!#REF!</definedName>
    <definedName name="XRefPaste55Row">[53]XREF!#REF!</definedName>
    <definedName localSheetId="0" name="XRefPaste5Row">[53]XREF!#REF!</definedName>
    <definedName name="XRefPaste5Row">[53]XREF!#REF!</definedName>
    <definedName localSheetId="0" name="XRefPaste6Row">[53]XREF!#REF!</definedName>
    <definedName name="XRefPaste6Row">[53]XREF!#REF!</definedName>
    <definedName localSheetId="0" name="XRefPaste7Row">[53]XREF!#REF!</definedName>
    <definedName name="XRefPaste7Row">[53]XREF!#REF!</definedName>
    <definedName localSheetId="0" name="XRefPaste8Row">[53]XREF!#REF!</definedName>
    <definedName name="XRefPaste8Row">[53]XREF!#REF!</definedName>
    <definedName localSheetId="0" name="XRefPaste9Row">[53]XREF!#REF!</definedName>
    <definedName name="XRefPaste9Row">[53]XREF!#REF!</definedName>
    <definedName name="XRefPasteRangeCount">2</definedName>
    <definedName name="xs">{#N/A,#N/A,FALSE,"INPUTS";#N/A,#N/A,FALSE,"PROFORMA BSHEET";#N/A,#N/A,FALSE,"COMBINED";#N/A,#N/A,FALSE,"HIGH YIELD";#N/A,#N/A,FALSE,"COMB_GRAPHS"}</definedName>
    <definedName name="xta">{"Page 1",#N/A,TRUE,"Sheet1";"Page 2",#N/A,TRUE,"Sheet1"}</definedName>
    <definedName name="XX">{#N/A,#N/A,FALSE,"Cash Flow"}</definedName>
    <definedName name="XXX">{#N/A,#N/A,FALSE,"Cash Flow"}</definedName>
    <definedName localSheetId="0" name="XXXXXX">'[13]COSTOFINANC.'!#REF!</definedName>
    <definedName name="XXXXXX">'[13]COSTOFINANC.'!#REF!</definedName>
    <definedName localSheetId="0" name="XXXXXXXXXX">'[58]SCHEDULE 9A(1 of 3)'!#REF!</definedName>
    <definedName name="XXXXXXXXXX">'[58]SCHEDULE 9A(1 of 3)'!#REF!</definedName>
    <definedName name="xxxxxxxxxxxx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xyz">{"Page 1",#N/A,TRUE,"Sheet1";"Page 2",#N/A,TRUE,"Sheet1"}</definedName>
    <definedName name="y">{#N/A,#N/A,FALSE,"Cash Flow"}</definedName>
    <definedName name="yhjdtyu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yhjkhdfhset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yjtrutry">{"Units A",#N/A,FALSE,"FY95SLS";"Units B",#N/A,FALSE,"FY95SLS"}</definedName>
    <definedName name="yjtyjy">{"Units A",#N/A,FALSE,"FY95SLS";"Units B",#N/A,FALSE,"FY95SLS"}</definedName>
    <definedName name="yrt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ysrt">{"Units A",#N/A,FALSE,"FY95SLS";"Units B",#N/A,FALSE,"FY95SLS"}</definedName>
    <definedName name="ytjdyfhfgdfh">{"histincome",#N/A,FALSE,"hyfins";"closing balance",#N/A,FALSE,"hyfins"}</definedName>
    <definedName name="ytrhyutwuw">{"Sum WW A",#N/A,FALSE,"FY95SLS";"Sum WW B",#N/A,FALSE,"FY95SLS";"Sum US A",#N/A,FALSE,"FY95SLS";"Sum US B",#N/A,FALSE,"FY95SLS";"Sum US Bocg",#N/A,FALSE,"FY95SLS";"Sum Can A",#N/A,FALSE,"FY95SLS";"Sum Can B",#N/A,FALSE,"FY95SLS";"Sum Europe",#N/A,FALSE,"FY95SLS";"Sum Row",#N/A,FALSE,"FY95SLS"}</definedName>
    <definedName name="ytrywtyt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ytu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ytuetyi">{"Units A",#N/A,FALSE,"FY95SLS";"Units B",#N/A,FALSE,"FY95SLS"}</definedName>
    <definedName name="ytukyui">{"Units A",#N/A,FALSE,"FY95SLS";"Units B",#N/A,FALSE,"FY95SLS"}</definedName>
    <definedName name="yty">{"Cover Sheet A",#N/A,FALSE,"FY95SLS";"Cover Sheet B",#N/A,FALSE,"FY95SLS";"World Wide A",#N/A,FALSE,"FY95SLS";"World Wide B",#N/A,FALSE,"FY95SLS";"PPD A",#N/A,FALSE,"FY95SLS";"PPD B",#N/A,FALSE,"FY95SLS";"Europe",#N/A,FALSE,"FY95SLS";"US Including A",#N/A,FALSE,"FY95SLS";"US Including B",#N/A,FALSE,"FY95SLS";"US Excluding A",#N/A,FALSE,"FY95SLS";"US Excluding B",#N/A,FALSE,"FY95SLS";"US Bocg",#N/A,FALSE,"FY95SLS";"Can Including Bocg",#N/A,FALSE,"FY95SLS";"Can Excluding Bocg",#N/A,FALSE,"FY95SLS";"Canada Bocg",#N/A,FALSE,"FY95SLS";"Can Canadian Dollars",#N/A,FALSE,"FY95SLS";"Row",#N/A,FALSE,"FY95SLS"}</definedName>
    <definedName name="yued">{"Units A",#N/A,FALSE,"FY95SLS";"Units B",#N/A,FALSE,"FY95SLS"}</definedName>
    <definedName name="yufiyd">{"Units A",#N/A,FALSE,"FY95SLS";"Units B",#N/A,FALSE,"FY95SLS"}</definedName>
    <definedName name="yui">{"Pound Sterling",#N/A,TRUE,"PPD";"Pound Sterling",#N/A,TRUE,"Anaquest";"Pound Sterling",#N/A,TRUE,"Delta";"Pound Sterling",#N/A,TRUE,"INO"}</definedName>
    <definedName name="yuiuy">{"Pound Sterling",#N/A,TRUE,"PPD";"Pound Sterling",#N/A,TRUE,"Anaquest";"Pound Sterling",#N/A,TRUE,"Delta";"Pound Sterling",#N/A,TRUE,"INO"}</definedName>
    <definedName name="yuk">{"Draft",#N/A,FALSE,"Feb-96"}</definedName>
    <definedName name="yukiuyo">{"Units A",#N/A,FALSE,"FY95SLS";"Units B",#N/A,FALSE,"FY95SLS"}</definedName>
    <definedName name="yuktyui">{"HOSP\WHSLR 1",#N/A,FALSE,"Sales_Split";"HOSP\WHSLR 2",#N/A,FALSE,"Sales_Split";"Hosp Total",#N/A,FALSE,"Sales_Split";"Hosp East",#N/A,FALSE,"Sales_Split";"Hosp West",#N/A,FALSE,"Sales_Split";"Whslr Total",#N/A,FALSE,"Sales_Split";"Whslr East",#N/A,FALSE,"Sales_Split";"Whslr West",#N/A,FALSE,"Sales_Split";"Percentage",#N/A,FALSE,"Sales_Split"}</definedName>
    <definedName name="yut">{"Units A",#N/A,FALSE,"FY95SLS";"Units B",#N/A,FALSE,"FY95SLS"}</definedName>
    <definedName name="yuty">{"Pound Sterling",#N/A,TRUE,"PPD";"Pound Sterling",#N/A,TRUE,"Anaquest";"Pound Sterling",#N/A,TRUE,"Delta";"Pound Sterling",#N/A,TRUE,"INO"}</definedName>
    <definedName name="yuyuyuyuyu">{"US Dollars",#N/A,TRUE,"PPD";"US Dollar",#N/A,TRUE,"Anaquest";"US Dollar",#N/A,TRUE,"Delta";"US Dollar",#N/A,TRUE,"INO"}</definedName>
    <definedName name="yy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z">{#N/A,#N/A,FALSE,"PERSONAL";#N/A,#N/A,FALSE,"explotación";#N/A,#N/A,FALSE,"generales"}</definedName>
    <definedName name="Z_312A9C02_E5D0_11D2_8B9A_00A0C9B6775A_.wvu.Cols">[59]AnmII!$C$1:$D$65536,[59]AnmII!$J$1:$K$65536</definedName>
    <definedName localSheetId="0" name="Z_312A9C02_E5D0_11D2_8B9A_00A0C9B6775A_.wvu.PrintArea">[59]AnmII!#REF!</definedName>
    <definedName name="Z_312A9C02_E5D0_11D2_8B9A_00A0C9B6775A_.wvu.PrintArea">[59]AnmII!#REF!</definedName>
    <definedName localSheetId="0" name="Z_312A9C02_E5D0_11D2_8B9A_00A0C9B6775A_.wvu.Rows">[59]AnmII!#REF!</definedName>
    <definedName name="Z_312A9C02_E5D0_11D2_8B9A_00A0C9B6775A_.wvu.Rows">[59]AnmII!#REF!</definedName>
    <definedName name="Z_312A9C05_E5D0_11D2_8B9A_00A0C9B6775A_.wvu.Cols">[59]AnmII!$C$1:$D$65536,[59]AnmII!$J$1:$K$65536</definedName>
    <definedName localSheetId="0" name="Z_312A9C05_E5D0_11D2_8B9A_00A0C9B6775A_.wvu.PrintArea">[59]AnmII!#REF!</definedName>
    <definedName name="Z_312A9C05_E5D0_11D2_8B9A_00A0C9B6775A_.wvu.PrintArea">[59]AnmII!#REF!</definedName>
    <definedName localSheetId="0" name="Z_312A9C05_E5D0_11D2_8B9A_00A0C9B6775A_.wvu.Rows">[59]AnmII!#REF!</definedName>
    <definedName name="Z_312A9C05_E5D0_11D2_8B9A_00A0C9B6775A_.wvu.Rows">[59]AnmII!#REF!</definedName>
    <definedName localSheetId="0" name="Z_4A8B1E49_2893_4629_AFE1_6470DF01AB59_.wvu.Cols">'[60]5.1. Cuadro BS. USO AXI'!#REF!,'[60]5.1. Cuadro BS. USO AXI'!#REF!</definedName>
    <definedName name="Z_4A8B1E49_2893_4629_AFE1_6470DF01AB59_.wvu.Cols">'[60]5.1. Cuadro BS. USO AXI'!#REF!,'[60]5.1. Cuadro BS. USO AXI'!#REF!</definedName>
    <definedName localSheetId="0" name="Z_4A8B1E49_2893_4629_AFE1_6470DF01AB59_.wvu.Rows">'[60]5.1. Cuadro BS. USO AXI'!#REF!</definedName>
    <definedName name="Z_4A8B1E49_2893_4629_AFE1_6470DF01AB59_.wvu.Rows">'[60]5.1. Cuadro BS. USO AXI'!#REF!</definedName>
    <definedName localSheetId="0" name="Z_72A762A7_2148_11D2_8B95_00A0C9B6775A_.wvu.Cols">[59]Parque!#REF!</definedName>
    <definedName name="Z_72A762A7_2148_11D2_8B95_00A0C9B6775A_.wvu.Cols">[59]Parque!#REF!</definedName>
    <definedName localSheetId="0" name="Z_72A762A8_2148_11D2_8B95_00A0C9B6775A_.wvu.Cols">[59]Parque!#REF!</definedName>
    <definedName name="Z_72A762A8_2148_11D2_8B95_00A0C9B6775A_.wvu.Cols">[59]Parque!#REF!</definedName>
    <definedName localSheetId="0" name="Z_72A762A9_2148_11D2_8B95_00A0C9B6775A_.wvu.Cols">[59]Parque!#REF!</definedName>
    <definedName name="Z_72A762A9_2148_11D2_8B95_00A0C9B6775A_.wvu.Cols">[59]Parque!#REF!</definedName>
    <definedName localSheetId="0" name="Z_72A762AC_2148_11D2_8B95_00A0C9B6775A_.wvu.Cols">[59]Parque!#REF!</definedName>
    <definedName name="Z_72A762AC_2148_11D2_8B95_00A0C9B6775A_.wvu.Cols">[59]Parque!#REF!</definedName>
    <definedName localSheetId="0" name="Z_79F71445_F256_11D1_B7A1_006097337DE3_.wvu.Cols">'[61]P&amp;L'!#REF!,'[61]P&amp;L'!#REF!,'[61]P&amp;L'!#REF!,'[61]P&amp;L'!#REF!,'[61]P&amp;L'!#REF!,'[61]P&amp;L'!#REF!,'[61]P&amp;L'!#REF!,'[61]P&amp;L'!#REF!,'[61]P&amp;L'!#REF!,'[61]P&amp;L'!#REF!,'[61]P&amp;L'!#REF!,'[61]P&amp;L'!#REF!</definedName>
    <definedName name="Z_79F71445_F256_11D1_B7A1_006097337DE3_.wvu.Cols">'[61]P&amp;L'!#REF!,'[61]P&amp;L'!#REF!,'[61]P&amp;L'!#REF!,'[61]P&amp;L'!#REF!,'[61]P&amp;L'!#REF!,'[61]P&amp;L'!#REF!,'[61]P&amp;L'!#REF!,'[61]P&amp;L'!#REF!,'[61]P&amp;L'!#REF!,'[61]P&amp;L'!#REF!,'[61]P&amp;L'!#REF!,'[61]P&amp;L'!#REF!</definedName>
    <definedName localSheetId="0" name="Z_79F71445_F256_11D1_B7A1_006097337DE3_.wvu.Rows">'[61]P&amp;L'!#REF!</definedName>
    <definedName name="Z_79F71445_F256_11D1_B7A1_006097337DE3_.wvu.Rows">'[61]P&amp;L'!#REF!</definedName>
    <definedName localSheetId="0" name="Z_8CF2B6A4_F3B2_11D1_B7A1_006097337DE3_.wvu.Cols">'[61]P&amp;L'!#REF!,'[61]P&amp;L'!#REF!,'[61]P&amp;L'!#REF!,'[61]P&amp;L'!#REF!,'[61]P&amp;L'!#REF!,'[61]P&amp;L'!#REF!,'[61]P&amp;L'!#REF!,'[61]P&amp;L'!#REF!,'[61]P&amp;L'!#REF!,'[61]P&amp;L'!#REF!,'[61]P&amp;L'!#REF!,'[61]P&amp;L'!#REF!</definedName>
    <definedName name="Z_8CF2B6A4_F3B2_11D1_B7A1_006097337DE3_.wvu.Cols">'[61]P&amp;L'!#REF!,'[61]P&amp;L'!#REF!,'[61]P&amp;L'!#REF!,'[61]P&amp;L'!#REF!,'[61]P&amp;L'!#REF!,'[61]P&amp;L'!#REF!,'[61]P&amp;L'!#REF!,'[61]P&amp;L'!#REF!,'[61]P&amp;L'!#REF!,'[61]P&amp;L'!#REF!,'[61]P&amp;L'!#REF!,'[61]P&amp;L'!#REF!</definedName>
    <definedName localSheetId="0" name="Z_8CF2B6A4_F3B2_11D1_B7A1_006097337DE3_.wvu.Rows">'[61]P&amp;L'!#REF!,'[61]P&amp;L'!$A$4:$IV$9,'[61]P&amp;L'!$A$15:$IV$17,'[61]P&amp;L'!$A$20:$IV$21,'[61]P&amp;L'!$A$24:$IV$26,'[61]P&amp;L'!#REF!</definedName>
    <definedName name="Z_8CF2B6A4_F3B2_11D1_B7A1_006097337DE3_.wvu.Rows">'[61]P&amp;L'!#REF!,'[61]P&amp;L'!$A$4:$IV$9,'[61]P&amp;L'!$A$15:$IV$17,'[61]P&amp;L'!$A$20:$IV$21,'[61]P&amp;L'!$A$24:$IV$26,'[61]P&amp;L'!#REF!</definedName>
    <definedName localSheetId="0" name="Z_8CF2B6A5_F3B2_11D1_B7A1_006097337DE3_.wvu.Cols">'[61]P&amp;L'!#REF!,'[61]P&amp;L'!#REF!,'[61]P&amp;L'!#REF!,'[61]P&amp;L'!#REF!,'[61]P&amp;L'!#REF!,'[61]P&amp;L'!#REF!,'[61]P&amp;L'!#REF!,'[61]P&amp;L'!#REF!,'[61]P&amp;L'!#REF!,'[61]P&amp;L'!#REF!,'[61]P&amp;L'!#REF!,'[61]P&amp;L'!#REF!</definedName>
    <definedName name="Z_8CF2B6A5_F3B2_11D1_B7A1_006097337DE3_.wvu.Cols">'[61]P&amp;L'!#REF!,'[61]P&amp;L'!#REF!,'[61]P&amp;L'!#REF!,'[61]P&amp;L'!#REF!,'[61]P&amp;L'!#REF!,'[61]P&amp;L'!#REF!,'[61]P&amp;L'!#REF!,'[61]P&amp;L'!#REF!,'[61]P&amp;L'!#REF!,'[61]P&amp;L'!#REF!,'[61]P&amp;L'!#REF!,'[61]P&amp;L'!#REF!</definedName>
    <definedName localSheetId="0" name="Z_8CF2B6A5_F3B2_11D1_B7A1_006097337DE3_.wvu.Rows">'[61]P&amp;L'!#REF!</definedName>
    <definedName name="Z_8CF2B6A5_F3B2_11D1_B7A1_006097337DE3_.wvu.Rows">'[61]P&amp;L'!#REF!</definedName>
    <definedName localSheetId="0" name="Z_8CF2B6A6_F3B2_11D1_B7A1_006097337DE3_.wvu.Cols">'[61]P&amp;L'!#REF!,'[61]P&amp;L'!#REF!,'[61]P&amp;L'!#REF!,'[61]P&amp;L'!#REF!,'[61]P&amp;L'!#REF!,'[61]P&amp;L'!#REF!,'[61]P&amp;L'!#REF!,'[61]P&amp;L'!#REF!,'[61]P&amp;L'!#REF!,'[61]P&amp;L'!#REF!,'[61]P&amp;L'!#REF!,'[61]P&amp;L'!#REF!</definedName>
    <definedName name="Z_8CF2B6A6_F3B2_11D1_B7A1_006097337DE3_.wvu.Cols">'[61]P&amp;L'!#REF!,'[61]P&amp;L'!#REF!,'[61]P&amp;L'!#REF!,'[61]P&amp;L'!#REF!,'[61]P&amp;L'!#REF!,'[61]P&amp;L'!#REF!,'[61]P&amp;L'!#REF!,'[61]P&amp;L'!#REF!,'[61]P&amp;L'!#REF!,'[61]P&amp;L'!#REF!,'[61]P&amp;L'!#REF!,'[61]P&amp;L'!#REF!</definedName>
    <definedName localSheetId="0" name="Z_8CF2B6A6_F3B2_11D1_B7A1_006097337DE3_.wvu.Rows">'[61]P&amp;L'!#REF!</definedName>
    <definedName name="Z_8CF2B6A6_F3B2_11D1_B7A1_006097337DE3_.wvu.Rows">'[61]P&amp;L'!#REF!</definedName>
    <definedName localSheetId="0" name="Z_8CF2B6A7_F3B2_11D1_B7A1_006097337DE3_.wvu.Cols">'[61]P&amp;L'!#REF!,'[61]P&amp;L'!#REF!,'[61]P&amp;L'!#REF!,'[61]P&amp;L'!#REF!,'[61]P&amp;L'!#REF!,'[61]P&amp;L'!#REF!,'[61]P&amp;L'!#REF!,'[61]P&amp;L'!#REF!,'[61]P&amp;L'!#REF!,'[61]P&amp;L'!#REF!,'[61]P&amp;L'!#REF!,'[61]P&amp;L'!#REF!</definedName>
    <definedName name="Z_8CF2B6A7_F3B2_11D1_B7A1_006097337DE3_.wvu.Cols">'[61]P&amp;L'!#REF!,'[61]P&amp;L'!#REF!,'[61]P&amp;L'!#REF!,'[61]P&amp;L'!#REF!,'[61]P&amp;L'!#REF!,'[61]P&amp;L'!#REF!,'[61]P&amp;L'!#REF!,'[61]P&amp;L'!#REF!,'[61]P&amp;L'!#REF!,'[61]P&amp;L'!#REF!,'[61]P&amp;L'!#REF!,'[61]P&amp;L'!#REF!</definedName>
    <definedName localSheetId="0" name="Z_8CF2B6A7_F3B2_11D1_B7A1_006097337DE3_.wvu.Rows">'[61]P&amp;L'!#REF!</definedName>
    <definedName name="Z_8CF2B6A7_F3B2_11D1_B7A1_006097337DE3_.wvu.Rows">'[61]P&amp;L'!#REF!</definedName>
    <definedName localSheetId="0" name="Z_937A79E3_03FE_4292_911B_FC8A51A078C2_.wvu.Cols">#REF!,#REF!</definedName>
    <definedName name="Z_937A79E3_03FE_4292_911B_FC8A51A078C2_.wvu.Cols">#REF!,#REF!</definedName>
    <definedName localSheetId="0" name="Z_9AB953AE_3105_11D2_8B95_00A0C9B6775A_.wvu.Rows">#REF!,#REF!,#REF!,#REF!,#REF!,#REF!,#REF!,#REF!,#REF!,#REF!,#REF!,#REF!,#REF!,#REF!,#REF!,#REF!,#REF!,#REF!,#REF!,#REF!,#REF!,#REF!,#REF!,#REF!,#REF!,#REF!,#REF!,#REF!,#REF!,#REF!,#REF!</definedName>
    <definedName name="Z_9AB953AE_3105_11D2_8B95_00A0C9B6775A_.wvu.Rows">#REF!,#REF!,#REF!,#REF!,#REF!,#REF!,#REF!,#REF!,#REF!,#REF!,#REF!,#REF!,#REF!,#REF!,#REF!,#REF!,#REF!,#REF!,#REF!,#REF!,#REF!,#REF!,#REF!,#REF!,#REF!,#REF!,#REF!,#REF!,#REF!,#REF!,#REF!</definedName>
    <definedName localSheetId="0" name="Z_9AB953AF_3105_11D2_8B95_00A0C9B6775A_.wvu.Rows">#REF!,#REF!,#REF!,#REF!,#REF!,#REF!,#REF!,#REF!,#REF!,#REF!,#REF!,#REF!,#REF!,#REF!,#REF!,#REF!,#REF!,#REF!,#REF!,#REF!,#REF!,#REF!,#REF!,#REF!,#REF!,#REF!,#REF!,#REF!,#REF!,#REF!,#REF!</definedName>
    <definedName name="Z_9AB953AF_3105_11D2_8B95_00A0C9B6775A_.wvu.Rows">#REF!,#REF!,#REF!,#REF!,#REF!,#REF!,#REF!,#REF!,#REF!,#REF!,#REF!,#REF!,#REF!,#REF!,#REF!,#REF!,#REF!,#REF!,#REF!,#REF!,#REF!,#REF!,#REF!,#REF!,#REF!,#REF!,#REF!,#REF!,#REF!,#REF!,#REF!</definedName>
    <definedName name="Z_9EBA8742_1A5C_11D3_8CDD_00001C305E4E_.wvu.Cols">'[62]Info and Parameters'!$D$1:$H$65536,'[62]Info and Parameters'!$Y$1:$Z$65536</definedName>
    <definedName localSheetId="0" name="Z_9EBA8742_1A5C_11D3_8CDD_00001C305E4E_.wvu.Rows">'[62]02-03'!#REF!,'[62]02-03'!#REF!,'[62]02-03'!#REF!,'[62]02-03'!#REF!,'[62]02-03'!#REF!,'[62]02-03'!#REF!,'[62]02-03'!#REF!,'[62]02-03'!#REF!,'[62]02-03'!#REF!,'[62]02-03'!$A$147:$IV$148,'[62]02-03'!$A$152:$IV$152,'[62]02-03'!$A$162:$IV$166</definedName>
    <definedName name="Z_9EBA8742_1A5C_11D3_8CDD_00001C305E4E_.wvu.Rows">'[62]02-03'!#REF!,'[62]02-03'!#REF!,'[62]02-03'!#REF!,'[62]02-03'!#REF!,'[62]02-03'!#REF!,'[62]02-03'!#REF!,'[62]02-03'!#REF!,'[62]02-03'!#REF!,'[62]02-03'!#REF!,'[62]02-03'!$A$147:$IV$148,'[62]02-03'!$A$152:$IV$152,'[62]02-03'!$A$162:$IV$166</definedName>
    <definedName name="Z_9EBA8743_1A5C_11D3_8CDD_00001C305E4E_.wvu.Cols">'[62]Info and Parameters'!$D$1:$H$65536,'[62]Info and Parameters'!$Y$1:$Z$65536</definedName>
    <definedName localSheetId="0" name="Z_9EBA8743_1A5C_11D3_8CDD_00001C305E4E_.wvu.Rows">'[62]02-03'!#REF!,'[62]02-03'!#REF!,'[62]02-03'!#REF!,'[62]02-03'!#REF!,'[62]02-03'!#REF!,'[62]02-03'!#REF!,'[62]02-03'!#REF!,'[62]02-03'!#REF!,'[62]02-03'!#REF!,'[62]02-03'!$A$147:$IV$148,'[62]02-03'!$A$152:$IV$152,'[62]02-03'!$A$162:$IV$166</definedName>
    <definedName name="Z_9EBA8743_1A5C_11D3_8CDD_00001C305E4E_.wvu.Rows">'[62]02-03'!#REF!,'[62]02-03'!#REF!,'[62]02-03'!#REF!,'[62]02-03'!#REF!,'[62]02-03'!#REF!,'[62]02-03'!#REF!,'[62]02-03'!#REF!,'[62]02-03'!#REF!,'[62]02-03'!#REF!,'[62]02-03'!$A$147:$IV$148,'[62]02-03'!$A$152:$IV$152,'[62]02-03'!$A$162:$IV$166</definedName>
    <definedName localSheetId="0" name="Z_BFDC2AE4_9827_11D3_B764_00403392CBD9_.wvu.Cols">#REF!,#REF!,#REF!,#REF!,#REF!</definedName>
    <definedName name="Z_BFDC2AE4_9827_11D3_B764_00403392CBD9_.wvu.Cols">#REF!,#REF!,#REF!,#REF!,#REF!</definedName>
    <definedName name="_6__123Graph_BCHART_2">#REF!</definedName>
    <definedName name="_bdm.792E834F66CD4A9FB741CB89BC3E5DD3.edm">#REF!</definedName>
    <definedName name="BLPH23">#REF!</definedName>
    <definedName name="__123Graph_AVERIFMUJ">#REF!</definedName>
    <definedName name="p.OpeningBS">#REF!</definedName>
    <definedName name="USDollar">#REF!</definedName>
    <definedName name="_bdm.29B470D70BC14F82A71FF6B32692924C.edm">#REF!</definedName>
    <definedName name="gls_START_YEAR">#REF!</definedName>
    <definedName name="gls_GenTargetCurrency">#REF!</definedName>
    <definedName name="_bdm.8C5E7699C0BE49E4955FCD0B85C0DE6B.edm">#REF!</definedName>
    <definedName name="Z_2340D3E6_3296_11D2_8B95_00A0C9B6775A_.wvu.Cols">#REF!</definedName>
    <definedName name="gls_GenCurrencyMultiplier">#REF!</definedName>
    <definedName name="BLPH11">#REF!</definedName>
    <definedName name="_bdm.478279DA89D049FB92EE039F3F11AC93.edm">#REF!</definedName>
    <definedName name="XRefCopy8">#REF!</definedName>
    <definedName name="XRefPaste13">#REF!</definedName>
    <definedName name="XRefCopy29">#REF!</definedName>
    <definedName name="XRefCopy1Row">#REF!</definedName>
    <definedName name="__123Graph_XVERIFHOM">#REF!</definedName>
    <definedName name="hn._I051">#REF!</definedName>
    <definedName name="_8__123Graph_BCHART_4">#REF!</definedName>
    <definedName name="ExRateLTM_Yr3">#REF!</definedName>
    <definedName name="_bdm.6299301ECBF545AB92687606A0BF9A62.edm">#REF!</definedName>
    <definedName name="gls_KEY_VALUE">#REF!</definedName>
    <definedName name="XRefPaste8">#REF!</definedName>
    <definedName name="TUSES">#REF!</definedName>
    <definedName name="gls_PERIOD_CODE">#REF!</definedName>
    <definedName name="_bdm.DF4787741ED340E4BA22F1EE08BF0FBA.edm">#REF!</definedName>
    <definedName name="_bdm.02FD2677414A499FAC35ACE0D5BA92EA.edm">#REF!</definedName>
    <definedName name="XRefPaste15">#REF!</definedName>
    <definedName name="BLPH8">#REF!</definedName>
    <definedName name="Change_in_Cash">#REF!</definedName>
    <definedName name="p.IRR_Titles">#REF!</definedName>
    <definedName name="Rows2Unhide">#REF!</definedName>
    <definedName name="BLPH7">#REF!</definedName>
    <definedName name="p.FactSheet">#REF!</definedName>
    <definedName name="_bdm.DBEE2195D78948D7BA9BC0FB254ADE1B.edm">#REF!</definedName>
    <definedName name="Incomepb">#REF!</definedName>
    <definedName name="_bdm.38A42D01E3BE487293DC9CED82F12CD3.edm">#REF!</definedName>
    <definedName name="_bdm.840BB4135D0147F082DEB3F709ECFA6A.edm">#REF!</definedName>
    <definedName name="alalaa">#REF!</definedName>
    <definedName name="XRefCopy32Row">#REF!</definedName>
    <definedName name="XRefCopy34Row">#REF!</definedName>
    <definedName name="_10__123Graph_CCHART_1">#REF!</definedName>
    <definedName name="_bdm.4E5DDC2AEC984EEB936246BAFD55C476.edm">#REF!</definedName>
    <definedName name="SpecialPrice">#REF!</definedName>
    <definedName name="_18__123Graph_XCHART_5">#REF!</definedName>
    <definedName name="_bdm.27E28DCC9F5E45A3BDDBF091A4604B8C.edm">#REF!</definedName>
    <definedName name="_Key2">#REF!</definedName>
    <definedName name="hn.Global">#REF!</definedName>
    <definedName name="hn.FromMain">#REF!</definedName>
    <definedName name="__123Graph_XDRIVER2">#REF!</definedName>
    <definedName name="_57__123Graph_BCHART_4">#REF!</definedName>
    <definedName name="_bdm.996C1AC3CF0D48D38DA732F97A42E510.edm">#REF!</definedName>
    <definedName name="hn.ConvertVal1">#REF!</definedName>
    <definedName name="_bdm.FCC937F19CB64D0188DC283B313DCD9A.edm">#REF!</definedName>
    <definedName name="XRefCopy22Row">#REF!</definedName>
    <definedName name="hn.CopyforPR">#REF!</definedName>
    <definedName name="BLPH37">#REF!</definedName>
    <definedName name="_bdm.1D4CD93CCB864FAE866EBD3EC54C5993.edm">#REF!</definedName>
    <definedName name="Z_2340D3E8_3296_11D2_8B95_00A0C9B6775A_.wvu.Cols">#REF!</definedName>
    <definedName name="_BQ4.3">#REF!</definedName>
    <definedName name="az">#REF!</definedName>
    <definedName name="hn.FromMain5">#REF!</definedName>
    <definedName name="IsSecureSenior2">#REF!</definedName>
    <definedName name="XRefCopy2Row">#REF!</definedName>
    <definedName name="hn.FromMain3">#REF!</definedName>
    <definedName name="_bdm.D7E80C36DCFE4E09AE86317EF6EF71A4.edm">#REF!</definedName>
    <definedName name="_bdm.6123C39629F14F3CAB58FF08D3D1852D.edm">#REF!</definedName>
    <definedName name="__123Graph_ASUELDOS">#REF!</definedName>
    <definedName name="_Table2_In2">#REF!</definedName>
    <definedName name="Z_4AAF80C0_2429_4AF0_BE2A_9BF0B7DFB54A_.wvu.PrintArea">#REF!</definedName>
    <definedName name="p.BSAssumptions">#REF!</definedName>
    <definedName name="oi">#REF!</definedName>
    <definedName name="_129__123Graph_XCHART_4">#REF!</definedName>
    <definedName name="HTML1_15">#REF!</definedName>
    <definedName name="_bdm.6ACB2B106F9B463AB4B4A66FE6894A28.edm">#REF!</definedName>
    <definedName name="BLPH15">#REF!</definedName>
    <definedName name="gls_GenCompany">#REF!</definedName>
    <definedName name="Z_2340D40A_3296_11D2_8B95_00A0C9B6775A_.wvu.Cols">#REF!</definedName>
    <definedName name="_123Graph_BINCOME2">#REF!</definedName>
    <definedName name="DivCpb">#REF!</definedName>
    <definedName name="gls_AnalystNameHeading">#REF!</definedName>
    <definedName name="yu">#REF!</definedName>
    <definedName name="gls_SPARE_YEARS">#REF!</definedName>
    <definedName name="hn.ParityCheck">#REF!</definedName>
    <definedName name="qery">#REF!</definedName>
    <definedName name="r.Market">#REF!</definedName>
    <definedName name="Rate_D">#REF!</definedName>
    <definedName name="r.Liquidity">#REF!</definedName>
    <definedName name="gls_YEAR_AE_CONTROL">#REF!</definedName>
    <definedName name="_Dist_Bin">#REF!</definedName>
    <definedName name="p.IRR">#REF!</definedName>
    <definedName name="_bdm.8D9A816FF5DF46108074D7614D7CC261.edm">#REF!</definedName>
    <definedName name="hn._I044">#REF!</definedName>
    <definedName name="BLPH30">#REF!</definedName>
    <definedName name="Z_9AB953AE_3105_11D2_8B95_00A0C9B6775A_.wvu.PrintArea">#REF!</definedName>
    <definedName name="OWNER">#REF!</definedName>
    <definedName name="_11__123Graph_CCHART_3">#REF!</definedName>
    <definedName name="p.IS">#REF!</definedName>
    <definedName name="_41__123Graph_BCHART_2">#REF!</definedName>
    <definedName name="_bdm.23DD084BCBA84229AC7A8E83CAF504E3.edm">#REF!</definedName>
    <definedName name="XRefCopy36Row">#REF!</definedName>
    <definedName name="XREF_COLUMN_5">#REF!</definedName>
    <definedName name="Z_2340D3F0_3296_11D2_8B95_00A0C9B6775A_.wvu.Cols">#REF!</definedName>
    <definedName name="BLPH16">#REF!</definedName>
    <definedName name="HisYear_3">#REF!</definedName>
    <definedName name="_123Graph_Bchart4">#REF!</definedName>
    <definedName name="p.CashFlow">#REF!</definedName>
    <definedName name="XRefCopy15">#REF!</definedName>
    <definedName name="BLPH20">#REF!</definedName>
    <definedName name="_Parse_In">#REF!</definedName>
    <definedName name="_bdm.0B10F7B5083C4516A4629007CDE8B242.edm">#REF!</definedName>
    <definedName name="DivBpb">#REF!</definedName>
    <definedName name="IsSecureSenior4">#REF!</definedName>
    <definedName name="hn._I028">#REF!</definedName>
    <definedName name="display_area_2">#REF!</definedName>
    <definedName name="_bdm.3364FE6EB9F64C89AAFCF135C31677EB.edm">#REF!</definedName>
    <definedName name="_121__123Graph_XCHART_3">#REF!</definedName>
    <definedName name="BLPH34">#REF!</definedName>
    <definedName name="Stub_Header1">#REF!</definedName>
    <definedName name="gls_GenEnterCompInfo">#REF!</definedName>
    <definedName name="_bdm.3EE642D27E7B4720ADB88F31A16CB458.edm">#REF!</definedName>
    <definedName name="_bdm.FB18DEB01EA64EDDBA945360BC456BA7.edm">#REF!</definedName>
    <definedName name="PrintStart">#REF!</definedName>
    <definedName name="gls_ShareholderHolding">#REF!</definedName>
    <definedName name="hn.YearLabel">#REF!</definedName>
    <definedName name="BLPH33">#REF!</definedName>
    <definedName name="_bdm.1ED5BA1276FC4EE78021B799724472B3.edm">#REF!</definedName>
    <definedName name="Z_6578C0D3_35B9_11D2_8B95_00A0C9B6775A_.wvu.Cols">#REF!</definedName>
    <definedName name="BSpb">#REF!</definedName>
    <definedName name="hn._P017">#REF!</definedName>
    <definedName name="Capitalpb">#REF!</definedName>
    <definedName name="__123Graph_BINCOME1">#REF!</definedName>
    <definedName name="qwq">#REF!</definedName>
    <definedName name="_bdm.D1FEFEA88C2C4547877F5A0ED2304E28.edm">#REF!</definedName>
    <definedName name="gls_EXTERNAL_COL_REF">#REF!</definedName>
    <definedName name="hn.Add015">#REF!</definedName>
    <definedName name="Z_9AB953AE_3105_11D2_8B95_00A0C9B6775A_.wvu.Cols">#REF!</definedName>
    <definedName name="gls_GenCompanyInfo">#REF!</definedName>
    <definedName name="__123Graph_CChart3">#REF!</definedName>
    <definedName name="BLPH35">#REF!</definedName>
    <definedName name="_bdm.069E0903A0524E058DBD0D65F455B355.edm">#REF!</definedName>
    <definedName name="__123Graph_XCOMPTASAS">#REF!</definedName>
    <definedName name="OrderTable">#REF!</definedName>
    <definedName name="_81__123Graph_CCHART_3">#REF!</definedName>
    <definedName name="DEDEFGR">#REF!</definedName>
    <definedName name="Z_2340D3EA_3296_11D2_8B95_00A0C9B6775A_.wvu.Cols">#REF!</definedName>
    <definedName name="_bdm.9CCA3DAFE259472B9A71606ADACDDE09.edm">#REF!</definedName>
    <definedName name="gls_PERIOD_TYPE">#REF!</definedName>
    <definedName name="__123Graph_XINCOME1">#REF!</definedName>
    <definedName name="_bdm.7004323EE99A4E1F955ADA29C3926B57.edm">#REF!</definedName>
    <definedName name="_9__123Graph_ACHART_2">#REF!</definedName>
    <definedName name="Executivepb">#REF!</definedName>
    <definedName name="gls_GenCurrency">#REF!</definedName>
    <definedName name="hn._P021">#REF!</definedName>
    <definedName name="OBS_Data_Col">#REF!</definedName>
    <definedName name="XREF_COLUMN_4">#REF!</definedName>
    <definedName name="XREF_COLUMN_1">#REF!</definedName>
    <definedName name="XRefActiveRow">#REF!</definedName>
    <definedName name="BVD">#REF!</definedName>
    <definedName name="Z_BBDA1A24_3814_11D2_8B95_00A0C9B6775A_.wvu.Cols">#REF!</definedName>
    <definedName name="XRefCopy35Row">#REF!</definedName>
    <definedName name="__123Graph_XCASHFLOW">#REF!</definedName>
    <definedName name="_bdm.F42A9DBD7F844D2E8A75BAAADEEBC874.edm">#REF!</definedName>
    <definedName name="XRefPaste9">#REF!</definedName>
    <definedName name="_33__123Graph_ACHART_5">#REF!</definedName>
    <definedName name="XRefPaste3">#REF!</definedName>
    <definedName name="hn._P002">#REF!</definedName>
    <definedName name="DivFpb">#REF!</definedName>
    <definedName name="Div_Inc_pb">#REF!</definedName>
    <definedName name="BLPH17">#REF!</definedName>
    <definedName name="gls_genStockRec">#REF!</definedName>
    <definedName name="XREF_COLUMN_6">#REF!</definedName>
    <definedName name="BLPH13">#REF!</definedName>
    <definedName name="_bdm.11F8C7816A2B489694A273E4108C00B4.edm">#REF!</definedName>
    <definedName name="__123Graph_BINCOME2">#REF!</definedName>
    <definedName name="XRefCopy2">#REF!</definedName>
    <definedName name="_49__123Graph_BCHART_3">#REF!</definedName>
    <definedName name="__123Graph_AINCOME1">#REF!</definedName>
    <definedName name="Rate_G">#REF!</definedName>
    <definedName name="gls_EST_FORM_OFFSET">#REF!</definedName>
    <definedName name="Z_9AB953AF_3105_11D2_8B95_00A0C9B6775A_.wvu.PrintTitles">#REF!</definedName>
    <definedName name="_bdm.400BD1B571CA4B839BB586430750F273.edm">#REF!</definedName>
    <definedName name="Depreciation">#REF!</definedName>
    <definedName name="Z_6578C0C8_35B9_11D2_8B95_00A0C9B6775A_.wvu.Cols">#REF!</definedName>
    <definedName name="Z_9AB953AD_3105_11D2_8B95_00A0C9B6775A_.wvu.PrintArea">#REF!</definedName>
    <definedName name="gls_GenLastPriceTargetRevised">#REF!</definedName>
    <definedName name="BLPH28">#REF!</definedName>
    <definedName name="_105__123Graph_ECHART_3">#REF!</definedName>
    <definedName name="BLPH24">#REF!</definedName>
    <definedName name="ewty">#REF!</definedName>
    <definedName name="wbwuedytyiru">#REF!</definedName>
    <definedName name="_">#REF!</definedName>
    <definedName name="hg">#REF!</definedName>
    <definedName name="r.Profitability">#REF!</definedName>
    <definedName name="PrintEnd">#REF!</definedName>
    <definedName name="_bdm.5B8382387F474B5EA345718E1D8A4BD1.edm">#REF!</definedName>
    <definedName name="_bdm.729D969126314921B0A1289D7962A8F4.edm">#REF!</definedName>
    <definedName name="Z_9AB953AD_3105_11D2_8B95_00A0C9B6775A_.wvu.Cols">#REF!</definedName>
    <definedName name="_bdm.5A715CE6657149DBA1196F1966CCD8AE.edm">#REF!</definedName>
    <definedName name="gls_GenProfile">#REF!</definedName>
    <definedName name="_bdm.15D223FAB0EB4A11A67FF05773BF0888.edm">#REF!</definedName>
    <definedName name="HTML2_14">#REF!</definedName>
    <definedName name="Check_to_Cash">#REF!</definedName>
    <definedName name="_bdm.B027347D28CE43BB971A611C4FE5F316.edm">#REF!</definedName>
    <definedName name="_bdm.87E28A41338144DA88A2AF24DA4627A1.edm">#REF!</definedName>
    <definedName name="_97__123Graph_DCHART_3">#REF!</definedName>
    <definedName name="BLPH25">#REF!</definedName>
    <definedName name="hn._I024">#REF!</definedName>
    <definedName name="BLPH12">#REF!</definedName>
    <definedName name="Z_9AB953AF_3105_11D2_8B95_00A0C9B6775A_.wvu.PrintArea">#REF!</definedName>
    <definedName name="gls_ShareholderNameHeading">#REF!</definedName>
    <definedName name="hn._P014">#REF!</definedName>
    <definedName name="XRefCopy21Row">#REF!</definedName>
    <definedName name="Analyst">#REF!</definedName>
    <definedName name="IsSecureSenior1">#REF!</definedName>
    <definedName name="hn._I070">#REF!</definedName>
    <definedName name="_bdm.9CB23288C87446BA890935F6D5B878A7.edm">#REF!</definedName>
    <definedName name="BLPH9">#REF!</definedName>
    <definedName name="DZ.Main">#REF!</definedName>
    <definedName name="_bdm.0949969E86AE47DAB0F6DFB1FCD3D463.edm">#REF!</definedName>
    <definedName name="_bdm.1F6F3EBCA338497399086573DAFE99E9.edm">#REF!</definedName>
    <definedName name="ExRate_Yr3">#REF!</definedName>
    <definedName name="_bdm.0DA59F0DBB3D4768A7821788B27B6497.edm">#REF!</definedName>
    <definedName name="_bdm.3778797518A3456FB7F33534844822D7.edm">#REF!</definedName>
    <definedName name="rt">#REF!</definedName>
    <definedName name="_bdm.5A91F9A5717B4173BA6C09A9DA6D203E.edm">#REF!</definedName>
    <definedName name="p.Depreciation">#REF!</definedName>
    <definedName name="__123Graph_ADRIVER2">#REF!</definedName>
    <definedName name="hn._P004">#REF!</definedName>
    <definedName name="_bdm.83C201EB300B4828B09CCE7E1E6B4CC7.edm">#REF!</definedName>
    <definedName name="r.LTMInterim">#REF!</definedName>
    <definedName name="__123Graph_XINCOME2">#REF!</definedName>
    <definedName name="Z_4AAF80C0_2429_4AF0_BE2A_9BF0B7DFB54A_.wvu.PrintTitles">#REF!</definedName>
    <definedName name="keya">#REF!</definedName>
    <definedName name="HTML2_15">#REF!</definedName>
    <definedName name="_17__123Graph_XCHART_4">#REF!</definedName>
    <definedName name="_bdm.7565A363ABC34788B6558E25B601EAFB.edm">#REF!</definedName>
    <definedName name="_bdm.5B7BDC778B404C2F901507EAFABDD1CE.edm">#REF!</definedName>
    <definedName name="xxxxxxx">#REF!</definedName>
    <definedName name="gls_START_WHAT">#REF!</definedName>
    <definedName name="_2__123Graph_ACHART_2">#REF!</definedName>
    <definedName name="_bdm.DC05EE7192314DAEA4E5D2DE498851E9.edm">#REF!</definedName>
    <definedName name="Z_2340D40D_3296_11D2_8B95_00A0C9B6775A_.wvu.Cols">#REF!</definedName>
    <definedName name="HiddenRows">#REF!</definedName>
    <definedName name="sort2">#REF!</definedName>
    <definedName name="_bdm.34BA6B9A758747759C5F4791ABB1B8AF.edm">#REF!</definedName>
    <definedName name="IsSecureRevolver">#REF!</definedName>
    <definedName name="_Parse_Out">#REF!</definedName>
    <definedName name="gls_GenAccountingConvention">#REF!</definedName>
    <definedName name="Z_2340D409_3296_11D2_8B95_00A0C9B6775A_.wvu.Cols">#REF!</definedName>
    <definedName name="_bdm.5145E2374A1143C49FA71355CDB89252.edm">#REF!</definedName>
    <definedName name="XRefPaste1">#REF!</definedName>
    <definedName name="hn._I071">#REF!</definedName>
    <definedName name="Z_4AAF80C0_2429_4AF0_BE2A_9BF0B7DFB54A_.wvu.Cols">#REF!</definedName>
    <definedName name="_bdm.C93A6D30C24D4347B8A4ED6A391E58C2.edm">#REF!</definedName>
    <definedName name="Z_2340D3E7_3296_11D2_8B95_00A0C9B6775A_.wvu.Cols">#REF!</definedName>
    <definedName name="_bdm.7DA66428E07046A5B67B32AC9F2847ED.edm">#REF!</definedName>
    <definedName name="DivDpb">#REF!</definedName>
    <definedName name="r.Summary">#REF!</definedName>
    <definedName name="Rate_F">#REF!</definedName>
    <definedName name="_bdm.FastTrackBookmark.3_30_2014_10_34_31_PM.edm">#REF!</definedName>
    <definedName name="XREF_COLUMN_7">#REF!</definedName>
    <definedName name="gls_PrincipalStockClass">#REF!</definedName>
    <definedName name="c.LTMYear">#REF!</definedName>
    <definedName name="hn._I018">#REF!</definedName>
    <definedName name="ExRateLTM_Yr1">#REF!</definedName>
    <definedName name="nn">#REF!</definedName>
    <definedName name="HisYear_1">#REF!</definedName>
    <definedName name="Cashpb">#REF!</definedName>
    <definedName name="hn.domestic">#REF!</definedName>
    <definedName name="Exchange_Rates">#REF!</definedName>
    <definedName name="Financialpb">#REF!</definedName>
    <definedName name="XRefPaste2Row">#REF!</definedName>
    <definedName name="DepreciationPB">#REF!</definedName>
    <definedName name="XRefCopy28Row">#REF!</definedName>
    <definedName name="_bdm.E399650C6ACE4A7CAD050586AE31D7CF.edm">#REF!</definedName>
    <definedName name="ProdForm">#REF!</definedName>
    <definedName name="cdfadafdas">#REF!</definedName>
    <definedName name="_Fill">#REF!</definedName>
    <definedName name="__123Graph_CCOMPTASAS">#REF!</definedName>
    <definedName name="_bdm.AE7E25FB25DE4813A6981033DF077686.edm">#REF!</definedName>
    <definedName name="__123Graph_ACOMPTASAS">#REF!</definedName>
    <definedName name="XRefCopy39Row">#REF!</definedName>
    <definedName name="Z_557F7524_1502_11D2_8B95_00A0C9B6775A_.wvu.PrintArea">#REF!</definedName>
    <definedName name="_bdm.37E4182DE0CC4EDBBFE8E5A5170C1897.edm">#REF!</definedName>
    <definedName name="Dealpb">#REF!</definedName>
    <definedName name="XRefPaste2">#REF!</definedName>
    <definedName name="XRefPaste10">#REF!</definedName>
    <definedName name="_bdm.850EF2A47F3149CD8F1BF0CE1F17BE5A.edm">#REF!</definedName>
    <definedName name="p.Cover">#REF!</definedName>
    <definedName name="Product">#REF!</definedName>
    <definedName name="_bdm.821D028841EF495FA938C17964B86DF9.edm">#REF!</definedName>
    <definedName name="__123Graph_ACASHFLOW">#REF!</definedName>
    <definedName name="XRefCopy31Row">#REF!</definedName>
    <definedName name="gls_FIRST_UNITS">#REF!</definedName>
    <definedName name="ExRateLTM_Yr2">#REF!</definedName>
    <definedName name="p.BS">#REF!</definedName>
    <definedName name="BLPH14">#REF!</definedName>
    <definedName name="XRefCopy6">#REF!</definedName>
    <definedName name="q">#REF!</definedName>
    <definedName name="p.DivisionH">#REF!</definedName>
    <definedName name="_9__123Graph_BCHART_5">#REF!</definedName>
    <definedName name="gls_START_FORMULA_OVERRIDEABLE">#REF!</definedName>
    <definedName name="PLUG">#REF!</definedName>
    <definedName name="Titlepb">#REF!</definedName>
    <definedName name="PF_EBITDA">#REF!</definedName>
    <definedName name="hn.USLast">#REF!</definedName>
    <definedName name="_bdm.70580FD183194BBEA390C1C02FFC94F5.edm">#REF!</definedName>
    <definedName name="_113__123Graph_XCHART_2">#REF!</definedName>
    <definedName name="__123Graph_XSUELDOS">#REF!</definedName>
    <definedName name="Cwvu.GREY_ALL.">#REF!</definedName>
    <definedName name="BLPH6">#REF!</definedName>
    <definedName name="_bdm.F82F323EB83B4B8C8AD2E7C35BD2993E.edm">#REF!</definedName>
    <definedName name="Rate_C">#REF!</definedName>
    <definedName name="_bdm.174B880E2F1A450EAD5049C0CAB50440.edm">#REF!</definedName>
    <definedName name="hn._I083">#REF!</definedName>
    <definedName name="_bdm.7EBE5C4A02EC4B2FB3227AA3AEB8307D.edm">#REF!</definedName>
    <definedName name="HTML1_14">#REF!</definedName>
    <definedName name="_13__123Graph_DCHART_3">#REF!</definedName>
    <definedName name="BLPH19">#REF!</definedName>
    <definedName name="hn._I031">#REF!</definedName>
    <definedName name="gls_GenMainInfo">#REF!</definedName>
    <definedName name="ExRate_Yr6">#REF!</definedName>
    <definedName name="_137__123Graph_XCHART_5">#REF!</definedName>
    <definedName name="_bdm.A9E8F2214015449F99BBFDAC629C22DB.edm">#REF!</definedName>
    <definedName name="_bdm.961D5D95E2CA4BC89C2BE0CEF3D214ED.edm">#REF!</definedName>
    <definedName name="BLPH31">#REF!</definedName>
    <definedName name="_bdm.36FD072473E94B41B06B9E6485D1A667.edm">#REF!</definedName>
    <definedName name="gls_GenLastRecRevised">#REF!</definedName>
    <definedName name="Z_2340D425_3296_11D2_8B95_00A0C9B6775A_.wvu.Cols">#REF!</definedName>
    <definedName name="Rate_E">#REF!</definedName>
    <definedName name="XRefCopy33Row">#REF!</definedName>
    <definedName name="CapitalStructure">#REF!</definedName>
    <definedName name="p.ISAssumptions">#REF!</definedName>
    <definedName name="Z_6578C0BC_35B9_11D2_8B95_00A0C9B6775A_.wvu.Cols">#REF!</definedName>
    <definedName name="XREF_COLUMN_25">#REF!</definedName>
    <definedName name="ExRate_Yr4">#REF!</definedName>
    <definedName name="XRefCopy11">#REF!</definedName>
    <definedName name="BLPH21">#REF!</definedName>
    <definedName name="_Table2_In1">#REF!</definedName>
    <definedName name="_15__123Graph_XCHART_2">#REF!</definedName>
    <definedName name="XRefCopy16">#REF!</definedName>
    <definedName name="_BQ4.2">#REF!</definedName>
    <definedName name="p.CapStructure">#REF!</definedName>
    <definedName name="_bdm.E6CCBAC3F22F40679F919A43F2215699.edm">#REF!</definedName>
    <definedName name="p.DivisionF">#REF!</definedName>
    <definedName name="lñkrfngsdmnfoñsd">#REF!</definedName>
    <definedName name="_bdm.D5DDEB04E92F4E81BB2D1D182149AE2B.edm">#REF!</definedName>
    <definedName name="hn._P001">#REF!</definedName>
    <definedName name="XRefCopy25Row">#REF!</definedName>
    <definedName name="Rate_H">#REF!</definedName>
    <definedName name="gls_START_USER_STATUS">#REF!</definedName>
    <definedName name="ExRate_Yr1">#REF!</definedName>
    <definedName name="_bdm.6D6B09F0863C4FBB950DF851DA4A53F7.edm">#REF!</definedName>
    <definedName name="DivEpb">#REF!</definedName>
    <definedName name="_3__123Graph_ACHART_2">#REF!</definedName>
    <definedName name="gls_START_PERIOD_CURRENCY">#REF!</definedName>
    <definedName name="BLPH10">#REF!</definedName>
    <definedName name="DivGpb">#REF!</definedName>
    <definedName name="_bdm.5D39D461768940FCA9840FC5908E2E25.edm">#REF!</definedName>
    <definedName name="XREF_COLUMN_8">#REF!</definedName>
    <definedName name="hn.FromMain2">#REF!</definedName>
    <definedName name="hn._I030">#REF!</definedName>
    <definedName name="TLA.035">#REF!</definedName>
    <definedName name="_11__123Graph_XCHART_2">#REF!</definedName>
    <definedName name="aa">#REF!</definedName>
    <definedName name="gls_ShareholdingName">#REF!</definedName>
    <definedName name="hn._I075">#REF!</definedName>
    <definedName name="_bdm.572423C1F5E3449E8380CA73E910B054.edm">#REF!</definedName>
    <definedName name="XRefCopy41Row">#REF!</definedName>
    <definedName name="__123Graph_AINCOME2">#REF!</definedName>
    <definedName name="_bdm.DBDDCE6D291340DFA73C1EAB7ABAD6AE.edm">#REF!</definedName>
    <definedName name="Factpb2">#REF!</definedName>
    <definedName name="XREF_COLUMN_13">#REF!</definedName>
    <definedName name="hn._I077">#REF!</definedName>
    <definedName name="p.DivisionC">#REF!</definedName>
    <definedName name="eyyywehryjbty">#REF!</definedName>
    <definedName name="XRefCopy27Row">#REF!</definedName>
    <definedName name="FX_NONE">#REF!</definedName>
    <definedName name="__123Graph_BVERIFMUJ">#REF!</definedName>
    <definedName name="_3__123Graph_ACHART_3">#REF!</definedName>
    <definedName name="_25__123Graph_ACHART_4">#REF!</definedName>
    <definedName name="IsSecureSenior7">#REF!</definedName>
    <definedName name="Unit">#REF!</definedName>
    <definedName name="_bdm.DA2CE3BCBD004D91B92A5B57D9032E7F.edm">#REF!</definedName>
    <definedName name="__123Graph_BDRIVER2">#REF!</definedName>
    <definedName name="XRefPaste12">#REF!</definedName>
    <definedName name="PietjePuk">#REF!</definedName>
    <definedName name="gls_PERIOD_INDICATOR">#REF!</definedName>
    <definedName name="_73__123Graph_CCHART_1">#REF!</definedName>
    <definedName name="__123Graph_BCOMPTASAS">#REF!</definedName>
    <definedName name="XRefCopy10">#REF!</definedName>
    <definedName name="Openingpb">#REF!</definedName>
    <definedName name="_bdm.6A4C1068314D48D9A5BE7B95D2D3E930.edm">#REF!</definedName>
    <definedName name="wtu">#REF!</definedName>
    <definedName name="Z_557F7523_1502_11D2_8B95_00A0C9B6775A_.wvu.PrintArea">#REF!</definedName>
    <definedName name="_bdm.23516B7C3D0544588EC27C80B328FBC1.edm">#REF!</definedName>
    <definedName name="gls_START_STATUS">#REF!</definedName>
    <definedName name="AS2StaticLS">#REF!</definedName>
    <definedName name="IsSecureSenior3">#REF!</definedName>
    <definedName name="p.DivisionD">#REF!</definedName>
    <definedName name="hn._P016">#REF!</definedName>
    <definedName name="XRefPaste4">#REF!</definedName>
    <definedName name="IsSecureSenior6">#REF!</definedName>
    <definedName name="FCode">#REF!</definedName>
    <definedName name="__IntlFixupTable">#REF!</definedName>
    <definedName name="Z_2340D40C_3296_11D2_8B95_00A0C9B6775A_.wvu.Cols">#REF!</definedName>
    <definedName name="_89__123Graph_DCHART_1">#REF!</definedName>
    <definedName name="_bdm.58A9060FE21345F6B2B8AEFE10E75B16.edm">#REF!</definedName>
    <definedName name="_7__123Graph_BCHART_3">#REF!</definedName>
    <definedName name="_bdm.5013826B6EA2478E9D8ACA253E1343E8.edm">#REF!</definedName>
    <definedName name="XRefCopy23Row">#REF!</definedName>
    <definedName name="__123Graph_XVERIFMUJ">#REF!</definedName>
    <definedName name="sorta">#REF!</definedName>
    <definedName name="_bdm.547DD6BD8AF5474286C1630996ED212A.edm">#REF!</definedName>
    <definedName name="XRefCopy13">#REF!</definedName>
    <definedName name="p.DivisionE">#REF!</definedName>
    <definedName name="XRefPaste6">#REF!</definedName>
    <definedName name="HTML2_13">#REF!</definedName>
    <definedName name="DivHpb">#REF!</definedName>
    <definedName name="BLPH29">#REF!</definedName>
    <definedName name="stubb">#REF!</definedName>
    <definedName name="ExRate_Yr7">#REF!</definedName>
    <definedName name="BLPH27">#REF!</definedName>
    <definedName name="_bdm.F06EFB77CAFD4D9EBE4BF50451045091.edm">#REF!</definedName>
    <definedName name="Z_9AB953AF_3105_11D2_8B95_00A0C9B6775A_.wvu.Cols">#REF!</definedName>
    <definedName name="BLPH18">#REF!</definedName>
    <definedName name="_16__123Graph_XCHART_3">#REF!</definedName>
    <definedName name="gls_YEAR_END_ROW">#REF!</definedName>
    <definedName name="_BQ4.1">#REF!</definedName>
    <definedName name="Left_Header">#REF!</definedName>
    <definedName name="Stub_Header2">#REF!</definedName>
    <definedName name="__123Graph_BSUELDOS">#REF!</definedName>
    <definedName name="XRefCopy5">#REF!</definedName>
    <definedName name="XREF_COLUMN_12">#REF!</definedName>
    <definedName name="gls_IssuedStockClassHeading">#REF!</definedName>
    <definedName name="Rate_A">#REF!</definedName>
    <definedName name="hn._I006">#REF!</definedName>
    <definedName name="XREF_COLUMN_3">#REF!</definedName>
    <definedName name="SDERT">#REF!</definedName>
    <definedName name="BS_Data_Col">#REF!</definedName>
    <definedName name="RCArea">#REF!</definedName>
    <definedName name="HTML1_13">#REF!</definedName>
    <definedName name="gls_GenLastPublished">#REF!</definedName>
    <definedName name="XRefCopy3">#REF!</definedName>
    <definedName name="All_Divisions">#REF!</definedName>
    <definedName name="tbl_ProdInfo">#REF!</definedName>
    <definedName name="gls_FIRST_ROWMULT">#REF!</definedName>
    <definedName name="_bdm.2AA895B8073B422182ACB37A82D0469A.edm">#REF!</definedName>
    <definedName name="hn._I029">#REF!</definedName>
    <definedName name="gls_GenSheetVersion">#REF!</definedName>
    <definedName name="gls_GenCountry">#REF!</definedName>
    <definedName name="Z_9AB953AD_3105_11D2_8B95_00A0C9B6775A_.wvu.PrintTitles">#REF!</definedName>
    <definedName name="_5__123Graph_ACHART_5">#REF!</definedName>
    <definedName name="XRefCopy9">#REF!</definedName>
    <definedName name="BLPH32">#REF!</definedName>
    <definedName name="_Table3_In2">#REF!</definedName>
    <definedName name="Rate_B">#REF!</definedName>
    <definedName name="XRefCopy30Row">#REF!</definedName>
    <definedName name="gls_IssuedStockCodeHeading">#REF!</definedName>
    <definedName name="ExRate_Yr2">#REF!</definedName>
    <definedName name="XRefCopy17">#REF!</definedName>
    <definedName name="HisYear_0">#REF!</definedName>
    <definedName name="Factpb">#REF!</definedName>
    <definedName name="hn._I085">#REF!</definedName>
    <definedName name="qeyvbw5yceg">#REF!</definedName>
    <definedName name="Adriaan6">#REF!</definedName>
    <definedName name="XREF_COLUMN_9">#REF!</definedName>
    <definedName name="gls_START_VALIDATION">#REF!</definedName>
    <definedName name="_bdm.602098C1FD5F4C4595354FA0FEEA6E64.edm">#REF!</definedName>
    <definedName name="_17__123Graph_ACHART_3">#REF!</definedName>
    <definedName name="p.DivisionG">#REF!</definedName>
    <definedName name="XRefPaste14">#REF!</definedName>
    <definedName name="XRefCopy4">#REF!</definedName>
    <definedName name="_bdm.21ECF9C714CA4F42A58B5F11207E3191.edm">#REF!</definedName>
    <definedName name="r.Leverage">#REF!</definedName>
    <definedName name="_bdm.49B82E90B9FC449A89B3BE10550CA038.edm">#REF!</definedName>
    <definedName name="BLPH38">#REF!</definedName>
    <definedName name="XRefCopy20Row">#REF!</definedName>
    <definedName name="_bdm.CC74865AEA86419E9917B1B189B86EAF.edm">#REF!</definedName>
    <definedName name="HisYear_2">#REF!</definedName>
    <definedName name="XRefCopy12">#REF!</definedName>
    <definedName name="a">#REF!</definedName>
    <definedName name="r.CashFlow">#REF!</definedName>
    <definedName name="BLPH22">#REF!</definedName>
    <definedName name="_bdm.F447F3691AD846ADA9C2B0E434758772.edm">#REF!</definedName>
    <definedName name="XRefPaste1Row">#REF!</definedName>
    <definedName name="XREF_COLUMN_10">#REF!</definedName>
    <definedName name="gls_ShareholderHoldingHeading">#REF!</definedName>
    <definedName name="sdthsrt">#REF!</definedName>
    <definedName name="XRefPaste11">#REF!</definedName>
    <definedName name="gls_ShareholderClassHeading">#REF!</definedName>
    <definedName name="XRefCopy38Row">#REF!</definedName>
    <definedName name="p.DivisionA">#REF!</definedName>
    <definedName name="Z_2340D40E_3296_11D2_8B95_00A0C9B6775A_.wvu.Cols">#REF!</definedName>
    <definedName name="_4__123Graph_ACHART_4">#REF!</definedName>
    <definedName name="_bdm.76FEF3623D9842DFAD312F7ABED45D59.edm">#REF!</definedName>
    <definedName name="BLPH26">#REF!</definedName>
    <definedName name="gls_AnalystEmpNoHeading">#REF!</definedName>
    <definedName name="Rating_Divsions">#REF!</definedName>
    <definedName name="Financialpb2">#REF!</definedName>
    <definedName name="hn._I062">#REF!</definedName>
    <definedName name="awetu">#REF!</definedName>
    <definedName name="gls_genStockCore">#REF!</definedName>
    <definedName name="mb_inputLocation">#REF!</definedName>
    <definedName name="XRefCopy3Row">#REF!</definedName>
    <definedName name="hn._P017g">#REF!</definedName>
    <definedName name="hn.LTMData">#REF!</definedName>
    <definedName name="XREF_COLUMN_14">#REF!</definedName>
    <definedName name="gls_ShareholderName">#REF!</definedName>
    <definedName name="gls_FIRST_PK">#REF!</definedName>
    <definedName name="gls_IssuedStockFreeFloatHeading">#REF!</definedName>
    <definedName name="XRefPaste7">#REF!</definedName>
    <definedName name="_bdm.C0F5ADB39F4B4C2299A880C43395DBAF.edm">#REF!</definedName>
    <definedName name="gls_FIRST_ITEM">#REF!</definedName>
    <definedName name="_bdm.245F59430F2B403CBB400D70746AAF58.edm">#REF!</definedName>
    <definedName name="_bdm.9F1E417C2B2E47439FE8ABDD8C8F1B0D.edm">#REF!</definedName>
    <definedName name="Divisional_Toggle">#REF!</definedName>
    <definedName name="Taxpb">#REF!</definedName>
    <definedName name="hn.PrivateLTMYear">#REF!</definedName>
    <definedName name="_14__123Graph_ECHART_3">#REF!</definedName>
    <definedName name="p.TaxCalculation">#REF!</definedName>
    <definedName name="Z_9AB953AE_3105_11D2_8B95_00A0C9B6775A_.wvu.PrintTitles">#REF!</definedName>
    <definedName name="_bdm.24864DFDA22F4B25A4E2AD798BD72247.edm">#REF!</definedName>
    <definedName name="_bdm.5123D8AD135F49AEA7374B00AA2C7875.edm">#REF!</definedName>
    <definedName name="XREF_COLUMN_11">#REF!</definedName>
    <definedName name="hn.FromMain1">#REF!</definedName>
    <definedName name="gls_FIXED_NAMES">#REF!</definedName>
    <definedName name="graph_bincome2">#REF!</definedName>
    <definedName name="_bdm.9B5702662DE84E9BBF6402BF74CB7834.edm">#REF!</definedName>
    <definedName name="Adriaan">#REF!</definedName>
    <definedName name="_bdm.250341C3DA124738A8B84276AC037492.edm">#REF!</definedName>
    <definedName name="gls_GenRecComment">#REF!</definedName>
    <definedName name="XRefCopy24Row">#REF!</definedName>
    <definedName name="Graph_Xdriver">#REF!</definedName>
    <definedName name="XRefCopy7">#REF!</definedName>
    <definedName name="AS2TickmarkLS">#REF!</definedName>
    <definedName name="Stub_Header3">#REF!</definedName>
    <definedName name="hn.FromMain4">#REF!</definedName>
    <definedName name="_bdm.E850BD7AB7294631B8587BD80E04DD87.edm">#REF!</definedName>
    <definedName name="_bdm.3FE99B275614400C8ED7064165666B2A.edm">#REF!</definedName>
    <definedName name="hn._P024">#REF!</definedName>
    <definedName name="_Table2_Out">#REF!</definedName>
    <definedName name="ExRate_Yr5">#REF!</definedName>
    <definedName name="gls_ACT_FORM_OFFSET">#REF!</definedName>
    <definedName name="Adriaan5">#REF!</definedName>
    <definedName name="gls_START_LOCAL_NAMES">#REF!</definedName>
    <definedName name="__123Graph_BVERIFHOM">#REF!</definedName>
    <definedName name="XRefCopy37Row">#REF!</definedName>
    <definedName name="DivApb">#REF!</definedName>
    <definedName name="_1__123Graph_ACHART_1">#REF!</definedName>
    <definedName name="BLPH36">#REF!</definedName>
    <definedName name="gls_TEMP_PERIOD_CODE">#REF!</definedName>
    <definedName name="p.DivisionB">#REF!</definedName>
    <definedName name="gls_KEY_DATA">#REF!</definedName>
    <definedName name="__123Graph_BCASHFLOW">#REF!</definedName>
    <definedName name="__123Graph_AVERIFHOM">#REF!</definedName>
    <definedName name="Z_557F7523_1502_11D2_8B95_00A0C9B6775A_.wvu.Cols">#REF!</definedName>
    <definedName name="p.Executive">#REF!</definedName>
    <definedName name="_bdm.3F04AB608A164D43855EF379C3622DF9.edm">#REF!</definedName>
    <definedName name="_bdm.16C6E8A76C7540E381DEF07BE6720033.edm">#REF!</definedName>
    <definedName name="hn._I059">#REF!</definedName>
    <definedName name="_bdm.02D7BDD82D794102B1015EE670C6172A.edm">#REF!</definedName>
    <definedName name="_bdm.C1D9BD1BCCDD4628A8D062C3A3429708.edm">#REF!</definedName>
    <definedName name="gls_ACT_EST_ROW">#REF!</definedName>
    <definedName name="gls_FONT_STATUS">#REF!</definedName>
    <definedName name="_65__123Graph_BCHART_5">#REF!</definedName>
    <definedName name="Z_557F7524_1502_11D2_8B95_00A0C9B6775A_.wvu.Cols">#REF!</definedName>
    <definedName name="XRefPaste5">#REF!</definedName>
    <definedName name="gls_PERIOD_PARENT_OR_CONSOL">#REF!</definedName>
    <definedName name="IsSecureSenior5">#REF!</definedName>
  </definedNames>
  <calcPr/>
  <extLst>
    <ext uri="GoogleSheetsCustomDataVersion2">
      <go:sheetsCustomData xmlns:go="http://customooxmlschemas.google.com/" r:id="rId67" roundtripDataChecksum="s5/NIE3C86eAPu+0hFx2L0zFHqvorjXU2GWJPhksV+Q="/>
    </ext>
  </extLst>
</workbook>
</file>

<file path=xl/sharedStrings.xml><?xml version="1.0" encoding="utf-8"?>
<sst xmlns="http://schemas.openxmlformats.org/spreadsheetml/2006/main" count="226" uniqueCount="102">
  <si>
    <t>M</t>
  </si>
  <si>
    <t>Lambaré 2023 | Presupuesto #[XX]</t>
  </si>
  <si>
    <t>Novios:</t>
  </si>
  <si>
    <t>Comisión salón</t>
  </si>
  <si>
    <t>Fecha pedido:</t>
  </si>
  <si>
    <t>Comisión planners:</t>
  </si>
  <si>
    <t>Fecha cierre de presupuesto:</t>
  </si>
  <si>
    <t>Canon fijo:</t>
  </si>
  <si>
    <t>Fecha casamiento:</t>
  </si>
  <si>
    <t>Tipo de cambio:</t>
  </si>
  <si>
    <t>Lugar:</t>
  </si>
  <si>
    <t>Porcentaje anticipo:</t>
  </si>
  <si>
    <t>Horario:</t>
  </si>
  <si>
    <t>Cantidad de personas:</t>
  </si>
  <si>
    <t>Formato:</t>
  </si>
  <si>
    <t>Ceremonia:</t>
  </si>
  <si>
    <t>Otros:</t>
  </si>
  <si>
    <t>Estado:</t>
  </si>
  <si>
    <t>Presupuesto</t>
  </si>
  <si>
    <t>Unidades</t>
  </si>
  <si>
    <t>Costo Unitario</t>
  </si>
  <si>
    <t>Costo Total</t>
  </si>
  <si>
    <t>Mark-up</t>
  </si>
  <si>
    <t>Precio Unitario</t>
  </si>
  <si>
    <t>Precio Total</t>
  </si>
  <si>
    <t>Honor. Lamba</t>
  </si>
  <si>
    <t>Precio c/ honor.</t>
  </si>
  <si>
    <t>Precio final</t>
  </si>
  <si>
    <t>Ganancia est.</t>
  </si>
  <si>
    <t>Categoría</t>
  </si>
  <si>
    <t>Cantidad</t>
  </si>
  <si>
    <t>AR$</t>
  </si>
  <si>
    <t>%</t>
  </si>
  <si>
    <t>CEREMONIA</t>
  </si>
  <si>
    <t>Mobiliario</t>
  </si>
  <si>
    <t>Florería</t>
  </si>
  <si>
    <t>Otros servicios</t>
  </si>
  <si>
    <t>RECEPCIÓN</t>
  </si>
  <si>
    <t>Iluminación</t>
  </si>
  <si>
    <t>CARPA/SALÓN</t>
  </si>
  <si>
    <t>CANON FIJO</t>
  </si>
  <si>
    <t>Total</t>
  </si>
  <si>
    <t>1ra</t>
  </si>
  <si>
    <t>2nda</t>
  </si>
  <si>
    <t>Total ingresos (AR$)</t>
  </si>
  <si>
    <t>3ro</t>
  </si>
  <si>
    <t>Total ganancia esperada (AR$)</t>
  </si>
  <si>
    <t>Total ganancia esperada (US$$)</t>
  </si>
  <si>
    <t>Rentabilidad esperada</t>
  </si>
  <si>
    <t>Calculadora de inflación</t>
  </si>
  <si>
    <t>IPC mensual</t>
  </si>
  <si>
    <t>Días del mes</t>
  </si>
  <si>
    <t>N/A</t>
  </si>
  <si>
    <t>Días transcurridos</t>
  </si>
  <si>
    <t>Ajuste por inflación</t>
  </si>
  <si>
    <t>Anticipo</t>
  </si>
  <si>
    <t>Saldo</t>
  </si>
  <si>
    <t>Resumen por tipo de gasto</t>
  </si>
  <si>
    <t>Ingresos</t>
  </si>
  <si>
    <t>Gastos</t>
  </si>
  <si>
    <t>Check</t>
  </si>
  <si>
    <t>Fecha</t>
  </si>
  <si>
    <t>Presupuesto aprobado</t>
  </si>
  <si>
    <t>Seña</t>
  </si>
  <si>
    <t>Pago a proveedores</t>
  </si>
  <si>
    <t>1er Pago</t>
  </si>
  <si>
    <t>2ndo Pago</t>
  </si>
  <si>
    <t>Proveedor 1</t>
  </si>
  <si>
    <t>Proveedor 2</t>
  </si>
  <si>
    <t>Proveedor 3</t>
  </si>
  <si>
    <t>Proveedor 4</t>
  </si>
  <si>
    <t>Proveedor 5</t>
  </si>
  <si>
    <t>Asistente 1</t>
  </si>
  <si>
    <t>Asistente 2</t>
  </si>
  <si>
    <t>Asistente 3</t>
  </si>
  <si>
    <t>Asistente 4</t>
  </si>
  <si>
    <t>Florista1</t>
  </si>
  <si>
    <t>Florista2</t>
  </si>
  <si>
    <t>Florista3</t>
  </si>
  <si>
    <t>Florista4</t>
  </si>
  <si>
    <t>Florista5</t>
  </si>
  <si>
    <t>Florista6</t>
  </si>
  <si>
    <t>Florista7</t>
  </si>
  <si>
    <t>Florista8</t>
  </si>
  <si>
    <t>Velas</t>
  </si>
  <si>
    <t>Generos</t>
  </si>
  <si>
    <t xml:space="preserve">Mercado </t>
  </si>
  <si>
    <t>Follaje</t>
  </si>
  <si>
    <t>Flete IP</t>
  </si>
  <si>
    <t xml:space="preserve"> </t>
  </si>
  <si>
    <t>IPC desde 3 Julio 2025</t>
  </si>
  <si>
    <t>1,9 %</t>
  </si>
  <si>
    <t xml:space="preserve"> Estimado 3,4%</t>
  </si>
  <si>
    <t>1,68 %</t>
  </si>
  <si>
    <t>2,1 %</t>
  </si>
  <si>
    <t>2,3 %</t>
  </si>
  <si>
    <t>2,5 %</t>
  </si>
  <si>
    <t>2,2 %</t>
  </si>
  <si>
    <t>2,9 %</t>
  </si>
  <si>
    <t>28 dias</t>
  </si>
  <si>
    <t>20 dias</t>
  </si>
  <si>
    <t>Extras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</si>
</sst>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0.0%;\(0.0%\);\-"/>
    <numFmt numFmtId="165" formatCode="[$-409]d\-mmm\-yy"/>
    <numFmt numFmtId="166" formatCode="#,##0.00;\(#,##0.00\);\-"/>
    <numFmt numFmtId="167" formatCode="d mmmm yyyy"/>
    <numFmt numFmtId="168" formatCode="0.0%"/>
    <numFmt numFmtId="169" formatCode="_(#,##0_);\(#,##0\);_(&quot;–&quot;_);_(@_)"/>
    <numFmt numFmtId="170" formatCode="#,##0;\(#,##0\);\-"/>
    <numFmt numFmtId="171" formatCode="_(#,##0.0%_);\(#,##0.0%\);_(&quot;–&quot;_);_(@_)"/>
    <numFmt numFmtId="172" formatCode="0.00\x"/>
    <numFmt numFmtId="173" formatCode="[$-409]dd\-mmm\-yy"/>
    <numFmt numFmtId="174" formatCode="[$$]#,##0"/>
    <numFmt numFmtId="175" formatCode="d mmmm"/>
  </numFmts>
  <fonts count="30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C0C0C"/>
      <name val="Calibri"/>
    </font>
    <font>
      <b/>
      <u/>
      <sz val="11.0"/>
      <color rgb="FF1F4E79"/>
      <name val="Calibri"/>
    </font>
    <font>
      <sz val="11.0"/>
      <color rgb="FF0000FF"/>
      <name val="Calibri"/>
    </font>
    <font>
      <b/>
      <u/>
      <sz val="11.0"/>
      <color theme="1"/>
      <name val="Calibri"/>
    </font>
    <font/>
    <font>
      <b/>
      <u/>
      <sz val="11.0"/>
      <color theme="1"/>
      <name val="Calibri"/>
    </font>
    <font>
      <b/>
      <u/>
      <sz val="11.0"/>
      <color theme="1"/>
      <name val="Calibri"/>
    </font>
    <font>
      <b/>
      <sz val="11.0"/>
      <color rgb="FFFFFFFF"/>
      <name val="Calibri"/>
    </font>
    <font>
      <b/>
      <sz val="11.0"/>
      <color theme="0"/>
      <name val="Calibri"/>
    </font>
    <font>
      <sz val="11.0"/>
      <color theme="0"/>
      <name val="Calibri"/>
    </font>
    <font>
      <b/>
      <u/>
      <sz val="11.0"/>
      <color theme="1"/>
      <name val="Calibri"/>
    </font>
    <font>
      <b/>
      <sz val="11.0"/>
      <color theme="1"/>
      <name val="Calibri"/>
    </font>
    <font>
      <b/>
      <sz val="11.0"/>
      <color rgb="FF0000FF"/>
      <name val="Calibri"/>
    </font>
    <font>
      <u/>
      <sz val="11.0"/>
      <color theme="1"/>
      <name val="Calibri"/>
    </font>
    <font>
      <sz val="11.0"/>
      <color theme="9"/>
      <name val="Calibri"/>
    </font>
    <font>
      <sz val="11.0"/>
      <color rgb="FFFF0000"/>
      <name val="Calibri"/>
    </font>
    <font>
      <sz val="11.0"/>
      <color rgb="FF70AD47"/>
      <name val="Calibri"/>
    </font>
    <font>
      <strike/>
      <sz val="11.0"/>
      <color rgb="FF0000FF"/>
      <name val="Calibri"/>
    </font>
    <font>
      <b/>
      <sz val="11.0"/>
      <color rgb="FF001B6A"/>
      <name val="Calibri"/>
    </font>
    <font>
      <i/>
      <sz val="11.0"/>
      <color rgb="FF595959"/>
      <name val="Calibri"/>
    </font>
    <font>
      <b/>
      <i/>
      <sz val="11.0"/>
      <color rgb="FF595959"/>
      <name val="Calibri"/>
    </font>
    <font>
      <b/>
      <sz val="11.0"/>
      <color rgb="FF000000"/>
      <name val="Calibri"/>
    </font>
    <font>
      <i/>
      <sz val="11.0"/>
      <color rgb="FF7F7F7F"/>
      <name val="Calibri"/>
    </font>
    <font>
      <b/>
      <i/>
      <sz val="11.0"/>
      <color rgb="FF7F7F7F"/>
      <name val="Calibri"/>
    </font>
    <font>
      <sz val="11.0"/>
      <color theme="1"/>
      <name val="Arial"/>
    </font>
    <font>
      <b/>
      <sz val="11.0"/>
      <color theme="1"/>
      <name val="Arial"/>
    </font>
    <font>
      <sz val="12.0"/>
      <color theme="1"/>
      <name val="Calibri"/>
    </font>
    <font>
      <b/>
      <sz val="12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1C4587"/>
        <bgColor rgb="FF1C4587"/>
      </patternFill>
    </fill>
    <fill>
      <patternFill patternType="solid">
        <fgColor rgb="FFFFF2CC"/>
        <bgColor rgb="FFFFF2CC"/>
      </patternFill>
    </fill>
    <fill>
      <patternFill patternType="solid">
        <fgColor rgb="FF7F7F7F"/>
        <bgColor rgb="FF7F7F7F"/>
      </patternFill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2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/>
    </border>
    <border>
      <left/>
      <right/>
      <top/>
      <bottom/>
    </border>
    <border>
      <left/>
      <right/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1F4E79"/>
      </top>
      <bottom style="thin">
        <color rgb="FF1F4E79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1" fillId="2" fontId="5" numFmtId="164" xfId="0" applyAlignment="1" applyBorder="1" applyFill="1" applyFont="1" applyNumberFormat="1">
      <alignment horizontal="left" vertical="center"/>
    </xf>
    <xf borderId="2" fillId="2" fontId="4" numFmtId="0" xfId="0" applyAlignment="1" applyBorder="1" applyFont="1">
      <alignment horizontal="center" vertical="center"/>
    </xf>
    <xf borderId="3" fillId="0" fontId="6" numFmtId="0" xfId="0" applyBorder="1" applyFont="1"/>
    <xf borderId="2" fillId="2" fontId="7" numFmtId="164" xfId="0" applyAlignment="1" applyBorder="1" applyFont="1" applyNumberFormat="1">
      <alignment horizontal="center" readingOrder="0" vertical="center"/>
    </xf>
    <xf borderId="1" fillId="2" fontId="4" numFmtId="9" xfId="0" applyAlignment="1" applyBorder="1" applyFont="1" applyNumberFormat="1">
      <alignment horizontal="center" readingOrder="0" vertical="center"/>
    </xf>
    <xf borderId="2" fillId="2" fontId="4" numFmtId="165" xfId="0" applyAlignment="1" applyBorder="1" applyFont="1" applyNumberFormat="1">
      <alignment horizontal="center" vertical="center"/>
    </xf>
    <xf borderId="2" fillId="2" fontId="8" numFmtId="164" xfId="0" applyAlignment="1" applyBorder="1" applyFont="1" applyNumberFormat="1">
      <alignment horizontal="center" vertical="center"/>
    </xf>
    <xf borderId="1" fillId="2" fontId="4" numFmtId="9" xfId="0" applyAlignment="1" applyBorder="1" applyFont="1" applyNumberFormat="1">
      <alignment horizontal="center" vertical="center"/>
    </xf>
    <xf borderId="1" fillId="2" fontId="4" numFmtId="166" xfId="0" applyAlignment="1" applyBorder="1" applyFont="1" applyNumberFormat="1">
      <alignment horizontal="center" vertical="center"/>
    </xf>
    <xf borderId="2" fillId="2" fontId="4" numFmtId="167" xfId="0" applyAlignment="1" applyBorder="1" applyFont="1" applyNumberFormat="1">
      <alignment horizontal="center" vertical="center"/>
    </xf>
    <xf borderId="1" fillId="2" fontId="4" numFmtId="164" xfId="0" applyAlignment="1" applyBorder="1" applyFont="1" applyNumberFormat="1">
      <alignment horizontal="center" vertical="center"/>
    </xf>
    <xf borderId="2" fillId="2" fontId="4" numFmtId="165" xfId="0" applyAlignment="1" applyBorder="1" applyFont="1" applyNumberFormat="1">
      <alignment horizontal="center" shrinkToFit="0" vertical="center" wrapText="1"/>
    </xf>
    <xf borderId="0" fillId="0" fontId="1" numFmtId="168" xfId="0" applyAlignment="1" applyFont="1" applyNumberFormat="1">
      <alignment horizontal="center" vertical="center"/>
    </xf>
    <xf borderId="4" fillId="3" fontId="9" numFmtId="169" xfId="0" applyAlignment="1" applyBorder="1" applyFill="1" applyFont="1" applyNumberFormat="1">
      <alignment horizontal="center" vertical="center"/>
    </xf>
    <xf borderId="5" fillId="3" fontId="9" numFmtId="17" xfId="0" applyAlignment="1" applyBorder="1" applyFont="1" applyNumberFormat="1">
      <alignment horizontal="center" vertical="center"/>
    </xf>
    <xf borderId="5" fillId="3" fontId="10" numFmtId="17" xfId="0" applyAlignment="1" applyBorder="1" applyFont="1" applyNumberFormat="1">
      <alignment horizontal="center" vertical="center"/>
    </xf>
    <xf borderId="4" fillId="3" fontId="9" numFmtId="17" xfId="0" applyAlignment="1" applyBorder="1" applyFont="1" applyNumberFormat="1">
      <alignment horizontal="center" vertical="center"/>
    </xf>
    <xf borderId="6" fillId="0" fontId="6" numFmtId="0" xfId="0" applyBorder="1" applyFont="1"/>
    <xf borderId="0" fillId="0" fontId="1" numFmtId="169" xfId="0" applyAlignment="1" applyFont="1" applyNumberFormat="1">
      <alignment horizontal="left" vertical="center"/>
    </xf>
    <xf borderId="0" fillId="0" fontId="1" numFmtId="169" xfId="0" applyAlignment="1" applyFont="1" applyNumberFormat="1">
      <alignment horizontal="center" vertical="center"/>
    </xf>
    <xf borderId="0" fillId="0" fontId="10" numFmtId="0" xfId="0" applyAlignment="1" applyFont="1">
      <alignment horizontal="center" textRotation="90" vertical="center"/>
    </xf>
    <xf borderId="0" fillId="0" fontId="11" numFmtId="0" xfId="0" applyAlignment="1" applyFont="1">
      <alignment horizontal="center" textRotation="90" vertical="center"/>
    </xf>
    <xf borderId="0" fillId="0" fontId="12" numFmtId="169" xfId="0" applyAlignment="1" applyFont="1" applyNumberFormat="1">
      <alignment horizontal="left" vertical="center"/>
    </xf>
    <xf borderId="0" fillId="0" fontId="13" numFmtId="169" xfId="0" applyAlignment="1" applyFont="1" applyNumberFormat="1">
      <alignment horizontal="center" vertical="center"/>
    </xf>
    <xf borderId="0" fillId="0" fontId="13" numFmtId="0" xfId="0" applyAlignment="1" applyFont="1">
      <alignment vertical="center"/>
    </xf>
    <xf borderId="0" fillId="0" fontId="14" numFmtId="170" xfId="0" applyAlignment="1" applyFont="1" applyNumberFormat="1">
      <alignment horizontal="center" vertical="center"/>
    </xf>
    <xf borderId="0" fillId="0" fontId="15" numFmtId="169" xfId="0" applyAlignment="1" applyFont="1" applyNumberFormat="1">
      <alignment horizontal="left" vertical="center"/>
    </xf>
    <xf borderId="0" fillId="0" fontId="1" numFmtId="171" xfId="0" applyAlignment="1" applyFont="1" applyNumberFormat="1">
      <alignment horizontal="center" vertical="center"/>
    </xf>
    <xf borderId="0" fillId="0" fontId="1" numFmtId="170" xfId="0" applyAlignment="1" applyFont="1" applyNumberFormat="1">
      <alignment horizontal="center" vertical="center"/>
    </xf>
    <xf borderId="0" fillId="0" fontId="4" numFmtId="170" xfId="0" applyAlignment="1" applyFont="1" applyNumberFormat="1">
      <alignment horizontal="center" vertical="center"/>
    </xf>
    <xf borderId="7" fillId="2" fontId="4" numFmtId="0" xfId="0" applyAlignment="1" applyBorder="1" applyFont="1">
      <alignment horizontal="center" vertical="center"/>
    </xf>
    <xf borderId="7" fillId="2" fontId="4" numFmtId="3" xfId="0" applyAlignment="1" applyBorder="1" applyFont="1" applyNumberForma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0" fillId="0" fontId="16" numFmtId="164" xfId="0" applyAlignment="1" applyFont="1" applyNumberFormat="1">
      <alignment horizontal="center" vertical="center"/>
    </xf>
    <xf borderId="7" fillId="2" fontId="4" numFmtId="165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4" fontId="1" numFmtId="0" xfId="0" applyAlignment="1" applyFill="1" applyFont="1">
      <alignment horizontal="center" vertical="center"/>
    </xf>
    <xf borderId="7" fillId="4" fontId="4" numFmtId="0" xfId="0" applyAlignment="1" applyBorder="1" applyFont="1">
      <alignment horizontal="center" vertical="center"/>
    </xf>
    <xf borderId="7" fillId="4" fontId="4" numFmtId="3" xfId="0" applyAlignment="1" applyBorder="1" applyFont="1" applyNumberFormat="1">
      <alignment horizontal="center" vertical="center"/>
    </xf>
    <xf borderId="1" fillId="4" fontId="4" numFmtId="166" xfId="0" applyAlignment="1" applyBorder="1" applyFont="1" applyNumberFormat="1">
      <alignment horizontal="center" vertical="center"/>
    </xf>
    <xf borderId="0" fillId="4" fontId="16" numFmtId="164" xfId="0" applyAlignment="1" applyFont="1" applyNumberFormat="1">
      <alignment horizontal="center" vertical="center"/>
    </xf>
    <xf borderId="0" fillId="4" fontId="1" numFmtId="0" xfId="0" applyAlignment="1" applyFont="1">
      <alignment vertical="center"/>
    </xf>
    <xf borderId="7" fillId="4" fontId="17" numFmtId="0" xfId="0" applyAlignment="1" applyBorder="1" applyFont="1">
      <alignment horizontal="center" vertical="center"/>
    </xf>
    <xf borderId="7" fillId="4" fontId="17" numFmtId="3" xfId="0" applyAlignment="1" applyBorder="1" applyFont="1" applyNumberFormat="1">
      <alignment horizontal="center" vertical="center"/>
    </xf>
    <xf borderId="0" fillId="4" fontId="18" numFmtId="9" xfId="0" applyAlignment="1" applyFont="1" applyNumberFormat="1">
      <alignment horizontal="center" vertical="center"/>
    </xf>
    <xf borderId="0" fillId="0" fontId="14" numFmtId="164" xfId="0" applyAlignment="1" applyFont="1" applyNumberFormat="1">
      <alignment horizontal="center" vertical="center"/>
    </xf>
    <xf borderId="1" fillId="4" fontId="4" numFmtId="164" xfId="0" applyAlignment="1" applyBorder="1" applyFont="1" applyNumberFormat="1">
      <alignment horizontal="center" vertical="center"/>
    </xf>
    <xf borderId="7" fillId="4" fontId="19" numFmtId="0" xfId="0" applyAlignment="1" applyBorder="1" applyFont="1">
      <alignment horizontal="center" vertical="center"/>
    </xf>
    <xf borderId="1" fillId="4" fontId="19" numFmtId="166" xfId="0" applyAlignment="1" applyBorder="1" applyFont="1" applyNumberFormat="1">
      <alignment horizontal="center" vertical="center"/>
    </xf>
    <xf borderId="7" fillId="2" fontId="19" numFmtId="0" xfId="0" applyAlignment="1" applyBorder="1" applyFont="1">
      <alignment horizontal="center" vertical="bottom"/>
    </xf>
    <xf borderId="7" fillId="2" fontId="4" numFmtId="3" xfId="0" applyAlignment="1" applyBorder="1" applyFont="1" applyNumberFormat="1">
      <alignment horizontal="center" vertical="bottom"/>
    </xf>
    <xf borderId="1" fillId="2" fontId="4" numFmtId="166" xfId="0" applyAlignment="1" applyBorder="1" applyFont="1" applyNumberFormat="1">
      <alignment horizontal="center" vertical="bottom"/>
    </xf>
    <xf borderId="7" fillId="2" fontId="4" numFmtId="0" xfId="0" applyAlignment="1" applyBorder="1" applyFont="1">
      <alignment horizontal="center"/>
    </xf>
    <xf borderId="7" fillId="2" fontId="4" numFmtId="3" xfId="0" applyAlignment="1" applyBorder="1" applyFont="1" applyNumberFormat="1">
      <alignment horizontal="center"/>
    </xf>
    <xf borderId="1" fillId="2" fontId="4" numFmtId="166" xfId="0" applyAlignment="1" applyBorder="1" applyFont="1" applyNumberFormat="1">
      <alignment horizontal="center"/>
    </xf>
    <xf borderId="0" fillId="0" fontId="1" numFmtId="164" xfId="0" applyAlignment="1" applyFont="1" applyNumberFormat="1">
      <alignment vertical="center"/>
    </xf>
    <xf borderId="7" fillId="2" fontId="19" numFmtId="0" xfId="0" applyAlignment="1" applyBorder="1" applyFont="1">
      <alignment horizontal="center" vertical="center"/>
    </xf>
    <xf borderId="0" fillId="0" fontId="18" numFmtId="9" xfId="0" applyAlignment="1" applyFont="1" applyNumberFormat="1">
      <alignment horizontal="center" vertical="center"/>
    </xf>
    <xf borderId="1" fillId="2" fontId="4" numFmtId="165" xfId="0" applyAlignment="1" applyBorder="1" applyFont="1" applyNumberFormat="1">
      <alignment horizontal="center" vertical="center"/>
    </xf>
    <xf borderId="1" fillId="2" fontId="17" numFmtId="166" xfId="0" applyAlignment="1" applyBorder="1" applyFont="1" applyNumberFormat="1">
      <alignment horizontal="center" vertical="center"/>
    </xf>
    <xf borderId="0" fillId="0" fontId="1" numFmtId="9" xfId="0" applyAlignment="1" applyFont="1" applyNumberFormat="1">
      <alignment horizontal="center" vertical="center"/>
    </xf>
    <xf borderId="7" fillId="2" fontId="17" numFmtId="0" xfId="0" applyAlignment="1" applyBorder="1" applyFont="1">
      <alignment horizontal="center" vertical="center"/>
    </xf>
    <xf borderId="5" fillId="5" fontId="1" numFmtId="166" xfId="0" applyAlignment="1" applyBorder="1" applyFill="1" applyFont="1" applyNumberFormat="1">
      <alignment horizontal="center" vertical="center"/>
    </xf>
    <xf borderId="0" fillId="0" fontId="14" numFmtId="166" xfId="0" applyAlignment="1" applyFont="1" applyNumberFormat="1">
      <alignment horizontal="center" vertical="center"/>
    </xf>
    <xf borderId="5" fillId="6" fontId="20" numFmtId="0" xfId="0" applyAlignment="1" applyBorder="1" applyFill="1" applyFont="1">
      <alignment vertical="center"/>
    </xf>
    <xf borderId="5" fillId="6" fontId="20" numFmtId="170" xfId="0" applyAlignment="1" applyBorder="1" applyFont="1" applyNumberFormat="1">
      <alignment horizontal="center" vertical="center"/>
    </xf>
    <xf borderId="5" fillId="6" fontId="20" numFmtId="166" xfId="0" applyAlignment="1" applyBorder="1" applyFont="1" applyNumberFormat="1">
      <alignment horizontal="center" vertical="center"/>
    </xf>
    <xf borderId="0" fillId="0" fontId="21" numFmtId="172" xfId="0" applyAlignment="1" applyFont="1" applyNumberFormat="1">
      <alignment horizontal="center" vertical="center"/>
    </xf>
    <xf borderId="0" fillId="0" fontId="21" numFmtId="164" xfId="0" applyAlignment="1" applyFont="1" applyNumberFormat="1">
      <alignment horizontal="center" vertical="center"/>
    </xf>
    <xf borderId="0" fillId="0" fontId="21" numFmtId="164" xfId="0" applyAlignment="1" applyFont="1" applyNumberFormat="1">
      <alignment horizontal="center" readingOrder="0" vertical="center"/>
    </xf>
    <xf borderId="5" fillId="6" fontId="20" numFmtId="166" xfId="0" applyAlignment="1" applyBorder="1" applyFont="1" applyNumberFormat="1">
      <alignment horizontal="center" readingOrder="0" vertical="center"/>
    </xf>
    <xf borderId="8" fillId="7" fontId="22" numFmtId="169" xfId="0" applyAlignment="1" applyBorder="1" applyFill="1" applyFont="1" applyNumberFormat="1">
      <alignment horizontal="center" vertical="center"/>
    </xf>
    <xf borderId="9" fillId="7" fontId="22" numFmtId="166" xfId="0" applyAlignment="1" applyBorder="1" applyFont="1" applyNumberFormat="1">
      <alignment horizontal="center" vertical="center"/>
    </xf>
    <xf borderId="0" fillId="0" fontId="14" numFmtId="170" xfId="0" applyAlignment="1" applyFont="1" applyNumberFormat="1">
      <alignment horizontal="center" readingOrder="0" vertical="center"/>
    </xf>
    <xf borderId="10" fillId="7" fontId="22" numFmtId="169" xfId="0" applyAlignment="1" applyBorder="1" applyFont="1" applyNumberFormat="1">
      <alignment horizontal="center" vertical="center"/>
    </xf>
    <xf borderId="11" fillId="7" fontId="22" numFmtId="166" xfId="0" applyAlignment="1" applyBorder="1" applyFont="1" applyNumberFormat="1">
      <alignment horizontal="center" vertical="center"/>
    </xf>
    <xf borderId="12" fillId="7" fontId="22" numFmtId="169" xfId="0" applyAlignment="1" applyBorder="1" applyFont="1" applyNumberFormat="1">
      <alignment horizontal="center" vertical="center"/>
    </xf>
    <xf borderId="13" fillId="7" fontId="22" numFmtId="168" xfId="0" applyAlignment="1" applyBorder="1" applyFont="1" applyNumberFormat="1">
      <alignment horizontal="center" vertical="center"/>
    </xf>
    <xf borderId="14" fillId="7" fontId="1" numFmtId="0" xfId="0" applyAlignment="1" applyBorder="1" applyFont="1">
      <alignment horizontal="center" vertical="center"/>
    </xf>
    <xf borderId="14" fillId="7" fontId="23" numFmtId="0" xfId="0" applyAlignment="1" applyBorder="1" applyFont="1">
      <alignment horizontal="left" vertical="center"/>
    </xf>
    <xf borderId="14" fillId="7" fontId="1" numFmtId="0" xfId="0" applyAlignment="1" applyBorder="1" applyFont="1">
      <alignment vertical="center"/>
    </xf>
    <xf borderId="5" fillId="3" fontId="9" numFmtId="169" xfId="0" applyAlignment="1" applyBorder="1" applyFont="1" applyNumberFormat="1">
      <alignment vertical="center"/>
    </xf>
    <xf borderId="5" fillId="3" fontId="9" numFmtId="165" xfId="0" applyAlignment="1" applyBorder="1" applyFont="1" applyNumberFormat="1">
      <alignment horizontal="center" vertical="center"/>
    </xf>
    <xf borderId="1" fillId="2" fontId="4" numFmtId="173" xfId="0" applyAlignment="1" applyBorder="1" applyFont="1" applyNumberFormat="1">
      <alignment horizontal="center" vertical="center"/>
    </xf>
    <xf borderId="5" fillId="7" fontId="1" numFmtId="0" xfId="0" applyAlignment="1" applyBorder="1" applyFont="1">
      <alignment vertical="center"/>
    </xf>
    <xf borderId="5" fillId="7" fontId="4" numFmtId="170" xfId="0" applyAlignment="1" applyBorder="1" applyFont="1" applyNumberFormat="1">
      <alignment horizontal="center" vertical="center"/>
    </xf>
    <xf borderId="15" fillId="0" fontId="13" numFmtId="169" xfId="0" applyAlignment="1" applyBorder="1" applyFont="1" applyNumberFormat="1">
      <alignment horizontal="left" vertical="center"/>
    </xf>
    <xf borderId="15" fillId="0" fontId="13" numFmtId="166" xfId="0" applyAlignment="1" applyBorder="1" applyFont="1" applyNumberFormat="1">
      <alignment horizontal="center" vertical="center"/>
    </xf>
    <xf borderId="0" fillId="0" fontId="13" numFmtId="166" xfId="0" applyAlignment="1" applyFont="1" applyNumberFormat="1">
      <alignment horizontal="center" vertical="center"/>
    </xf>
    <xf borderId="0" fillId="0" fontId="24" numFmtId="0" xfId="0" applyAlignment="1" applyFont="1">
      <alignment vertical="center"/>
    </xf>
    <xf borderId="0" fillId="0" fontId="24" numFmtId="164" xfId="0" applyAlignment="1" applyFont="1" applyNumberFormat="1">
      <alignment horizontal="center" vertical="center"/>
    </xf>
    <xf borderId="0" fillId="0" fontId="25" numFmtId="0" xfId="0" applyAlignment="1" applyFont="1">
      <alignment horizontal="center" vertical="center"/>
    </xf>
    <xf borderId="0" fillId="0" fontId="25" numFmtId="166" xfId="0" applyAlignment="1" applyFont="1" applyNumberFormat="1">
      <alignment horizontal="center" vertical="center"/>
    </xf>
    <xf borderId="0" fillId="8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166" xfId="0" applyAlignment="1" applyFont="1" applyNumberFormat="1">
      <alignment vertical="bottom"/>
    </xf>
    <xf borderId="16" fillId="8" fontId="1" numFmtId="0" xfId="0" applyAlignment="1" applyBorder="1" applyFont="1">
      <alignment vertical="bottom"/>
    </xf>
    <xf borderId="16" fillId="0" fontId="1" numFmtId="0" xfId="0" applyAlignment="1" applyBorder="1" applyFont="1">
      <alignment horizontal="center" vertical="bottom"/>
    </xf>
    <xf borderId="16" fillId="0" fontId="1" numFmtId="166" xfId="0" applyAlignment="1" applyBorder="1" applyFont="1" applyNumberFormat="1">
      <alignment horizontal="center" readingOrder="0" vertical="bottom"/>
    </xf>
    <xf borderId="16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16" fillId="8" fontId="1" numFmtId="0" xfId="0" applyAlignment="1" applyBorder="1" applyFont="1">
      <alignment readingOrder="0" vertical="bottom"/>
    </xf>
    <xf borderId="16" fillId="0" fontId="1" numFmtId="0" xfId="0" applyAlignment="1" applyBorder="1" applyFont="1">
      <alignment vertical="bottom"/>
    </xf>
    <xf borderId="16" fillId="0" fontId="1" numFmtId="174" xfId="0" applyAlignment="1" applyBorder="1" applyFont="1" applyNumberFormat="1">
      <alignment readingOrder="0" vertical="bottom"/>
    </xf>
    <xf borderId="0" fillId="0" fontId="1" numFmtId="0" xfId="0" applyFont="1"/>
    <xf borderId="0" fillId="0" fontId="13" numFmtId="0" xfId="0" applyAlignment="1" applyFont="1">
      <alignment readingOrder="0"/>
    </xf>
    <xf borderId="0" fillId="0" fontId="13" numFmtId="0" xfId="0" applyAlignment="1" applyFont="1">
      <alignment horizontal="center" readingOrder="0"/>
    </xf>
    <xf borderId="0" fillId="0" fontId="13" numFmtId="166" xfId="0" applyAlignment="1" applyFont="1" applyNumberFormat="1">
      <alignment horizontal="center" readingOrder="0" vertical="bottom"/>
    </xf>
    <xf borderId="0" fillId="0" fontId="13" numFmtId="0" xfId="0" applyAlignment="1" applyFont="1">
      <alignment horizontal="center" readingOrder="0" vertical="bottom"/>
    </xf>
    <xf borderId="16" fillId="0" fontId="26" numFmtId="174" xfId="0" applyAlignment="1" applyBorder="1" applyFont="1" applyNumberFormat="1">
      <alignment horizontal="right" readingOrder="0" vertical="bottom"/>
    </xf>
    <xf borderId="16" fillId="0" fontId="27" numFmtId="174" xfId="0" applyAlignment="1" applyBorder="1" applyFont="1" applyNumberFormat="1">
      <alignment horizontal="right" readingOrder="0" vertical="bottom"/>
    </xf>
    <xf borderId="16" fillId="0" fontId="27" numFmtId="174" xfId="0" applyAlignment="1" applyBorder="1" applyFont="1" applyNumberFormat="1">
      <alignment horizontal="right" vertical="bottom"/>
    </xf>
    <xf borderId="16" fillId="0" fontId="1" numFmtId="174" xfId="0" applyAlignment="1" applyBorder="1" applyFont="1" applyNumberFormat="1">
      <alignment vertical="bottom"/>
    </xf>
    <xf borderId="0" fillId="0" fontId="26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7" fillId="0" fontId="26" numFmtId="0" xfId="0" applyAlignment="1" applyBorder="1" applyFont="1">
      <alignment vertical="bottom"/>
    </xf>
    <xf borderId="18" fillId="0" fontId="1" numFmtId="166" xfId="0" applyAlignment="1" applyBorder="1" applyFont="1" applyNumberFormat="1">
      <alignment vertical="bottom"/>
    </xf>
    <xf borderId="0" fillId="8" fontId="1" numFmtId="174" xfId="0" applyAlignment="1" applyFont="1" applyNumberFormat="1">
      <alignment vertical="bottom"/>
    </xf>
    <xf borderId="19" fillId="0" fontId="1" numFmtId="0" xfId="0" applyAlignment="1" applyBorder="1" applyFont="1">
      <alignment vertical="bottom"/>
    </xf>
    <xf borderId="19" fillId="0" fontId="1" numFmtId="166" xfId="0" applyAlignment="1" applyBorder="1" applyFont="1" applyNumberFormat="1">
      <alignment vertical="bottom"/>
    </xf>
    <xf borderId="0" fillId="0" fontId="1" numFmtId="10" xfId="0" applyAlignment="1" applyFont="1" applyNumberFormat="1">
      <alignment horizontal="right" vertical="bottom"/>
    </xf>
    <xf borderId="20" fillId="0" fontId="26" numFmtId="175" xfId="0" applyAlignment="1" applyBorder="1" applyFont="1" applyNumberFormat="1">
      <alignment horizontal="center" vertical="bottom"/>
    </xf>
    <xf borderId="21" fillId="0" fontId="26" numFmtId="175" xfId="0" applyAlignment="1" applyBorder="1" applyFont="1" applyNumberFormat="1">
      <alignment horizontal="center" vertical="bottom"/>
    </xf>
    <xf borderId="16" fillId="0" fontId="26" numFmtId="175" xfId="0" applyAlignment="1" applyBorder="1" applyFont="1" applyNumberFormat="1">
      <alignment horizontal="center" vertical="bottom"/>
    </xf>
    <xf borderId="20" fillId="0" fontId="26" numFmtId="0" xfId="0" applyAlignment="1" applyBorder="1" applyFont="1">
      <alignment horizontal="center" vertical="bottom"/>
    </xf>
    <xf borderId="21" fillId="0" fontId="26" numFmtId="0" xfId="0" applyAlignment="1" applyBorder="1" applyFont="1">
      <alignment horizontal="center" vertical="bottom"/>
    </xf>
    <xf borderId="16" fillId="0" fontId="26" numFmtId="0" xfId="0" applyAlignment="1" applyBorder="1" applyFont="1">
      <alignment horizontal="center" vertical="bottom"/>
    </xf>
    <xf borderId="16" fillId="0" fontId="26" numFmtId="0" xfId="0" applyAlignment="1" applyBorder="1" applyFont="1">
      <alignment horizontal="right" vertical="bottom"/>
    </xf>
    <xf borderId="16" fillId="0" fontId="26" numFmtId="10" xfId="0" applyAlignment="1" applyBorder="1" applyFont="1" applyNumberFormat="1">
      <alignment horizontal="right" vertical="bottom"/>
    </xf>
    <xf borderId="20" fillId="0" fontId="1" numFmtId="174" xfId="0" applyAlignment="1" applyBorder="1" applyFont="1" applyNumberFormat="1">
      <alignment vertical="bottom"/>
    </xf>
    <xf borderId="21" fillId="0" fontId="1" numFmtId="174" xfId="0" applyAlignment="1" applyBorder="1" applyFont="1" applyNumberFormat="1">
      <alignment vertical="bottom"/>
    </xf>
    <xf borderId="21" fillId="0" fontId="1" numFmtId="174" xfId="0" applyAlignment="1" applyBorder="1" applyFont="1" applyNumberFormat="1">
      <alignment horizontal="center" vertical="bottom"/>
    </xf>
    <xf borderId="16" fillId="0" fontId="1" numFmtId="174" xfId="0" applyAlignment="1" applyBorder="1" applyFont="1" applyNumberFormat="1">
      <alignment horizontal="center" vertical="bottom"/>
    </xf>
    <xf borderId="0" fillId="0" fontId="1" numFmtId="170" xfId="0" applyAlignment="1" applyFont="1" applyNumberFormat="1">
      <alignment vertical="bottom"/>
    </xf>
    <xf borderId="20" fillId="0" fontId="26" numFmtId="174" xfId="0" applyAlignment="1" applyBorder="1" applyFont="1" applyNumberFormat="1">
      <alignment horizontal="right" readingOrder="0" vertical="bottom"/>
    </xf>
    <xf borderId="21" fillId="0" fontId="26" numFmtId="174" xfId="0" applyAlignment="1" applyBorder="1" applyFont="1" applyNumberFormat="1">
      <alignment horizontal="right" vertical="bottom"/>
    </xf>
    <xf borderId="16" fillId="0" fontId="26" numFmtId="174" xfId="0" applyAlignment="1" applyBorder="1" applyFont="1" applyNumberFormat="1">
      <alignment horizontal="right" vertical="bottom"/>
    </xf>
    <xf borderId="0" fillId="0" fontId="1" numFmtId="174" xfId="0" applyAlignment="1" applyFont="1" applyNumberFormat="1">
      <alignment vertical="bottom"/>
    </xf>
    <xf borderId="16" fillId="9" fontId="28" numFmtId="0" xfId="0" applyAlignment="1" applyBorder="1" applyFill="1" applyFont="1">
      <alignment vertical="bottom"/>
    </xf>
    <xf borderId="16" fillId="9" fontId="28" numFmtId="0" xfId="0" applyAlignment="1" applyBorder="1" applyFont="1">
      <alignment readingOrder="0" vertical="bottom"/>
    </xf>
    <xf borderId="16" fillId="9" fontId="28" numFmtId="174" xfId="0" applyAlignment="1" applyBorder="1" applyFont="1" applyNumberFormat="1">
      <alignment horizontal="right" readingOrder="0" vertical="bottom"/>
    </xf>
    <xf borderId="0" fillId="8" fontId="29" numFmtId="174" xfId="0" applyAlignment="1" applyFont="1" applyNumberFormat="1">
      <alignment horizontal="right" vertical="bottom"/>
    </xf>
    <xf borderId="17" fillId="9" fontId="28" numFmtId="0" xfId="0" applyAlignment="1" applyBorder="1" applyFont="1">
      <alignment vertical="bottom"/>
    </xf>
    <xf borderId="18" fillId="9" fontId="29" numFmtId="17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externalLink" Target="externalLinks/externalLink36.xml"/><Relationship Id="rId42" Type="http://schemas.openxmlformats.org/officeDocument/2006/relationships/externalLink" Target="externalLinks/externalLink38.xml"/><Relationship Id="rId41" Type="http://schemas.openxmlformats.org/officeDocument/2006/relationships/externalLink" Target="externalLinks/externalLink37.xml"/><Relationship Id="rId44" Type="http://schemas.openxmlformats.org/officeDocument/2006/relationships/externalLink" Target="externalLinks/externalLink40.xml"/><Relationship Id="rId43" Type="http://schemas.openxmlformats.org/officeDocument/2006/relationships/externalLink" Target="externalLinks/externalLink39.xml"/><Relationship Id="rId46" Type="http://schemas.openxmlformats.org/officeDocument/2006/relationships/externalLink" Target="externalLinks/externalLink42.xml"/><Relationship Id="rId45" Type="http://schemas.openxmlformats.org/officeDocument/2006/relationships/externalLink" Target="externalLinks/externalLink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5.xml"/><Relationship Id="rId48" Type="http://schemas.openxmlformats.org/officeDocument/2006/relationships/externalLink" Target="externalLinks/externalLink44.xml"/><Relationship Id="rId47" Type="http://schemas.openxmlformats.org/officeDocument/2006/relationships/externalLink" Target="externalLinks/externalLink43.xml"/><Relationship Id="rId49" Type="http://schemas.openxmlformats.org/officeDocument/2006/relationships/externalLink" Target="externalLinks/externalLink45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schemas.openxmlformats.org/officeDocument/2006/relationships/externalLink" Target="externalLinks/externalLink3.xml"/><Relationship Id="rId8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7.xml"/><Relationship Id="rId30" Type="http://schemas.openxmlformats.org/officeDocument/2006/relationships/externalLink" Target="externalLinks/externalLink26.xml"/><Relationship Id="rId33" Type="http://schemas.openxmlformats.org/officeDocument/2006/relationships/externalLink" Target="externalLinks/externalLink29.xml"/><Relationship Id="rId32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1.xml"/><Relationship Id="rId34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3.xml"/><Relationship Id="rId36" Type="http://schemas.openxmlformats.org/officeDocument/2006/relationships/externalLink" Target="externalLinks/externalLink32.xml"/><Relationship Id="rId39" Type="http://schemas.openxmlformats.org/officeDocument/2006/relationships/externalLink" Target="externalLinks/externalLink35.xml"/><Relationship Id="rId38" Type="http://schemas.openxmlformats.org/officeDocument/2006/relationships/externalLink" Target="externalLinks/externalLink34.xml"/><Relationship Id="rId62" Type="http://schemas.openxmlformats.org/officeDocument/2006/relationships/externalLink" Target="externalLinks/externalLink58.xml"/><Relationship Id="rId61" Type="http://schemas.openxmlformats.org/officeDocument/2006/relationships/externalLink" Target="externalLinks/externalLink57.xml"/><Relationship Id="rId20" Type="http://schemas.openxmlformats.org/officeDocument/2006/relationships/externalLink" Target="externalLinks/externalLink16.xml"/><Relationship Id="rId64" Type="http://schemas.openxmlformats.org/officeDocument/2006/relationships/externalLink" Target="externalLinks/externalLink60.xml"/><Relationship Id="rId63" Type="http://schemas.openxmlformats.org/officeDocument/2006/relationships/externalLink" Target="externalLinks/externalLink59.xml"/><Relationship Id="rId22" Type="http://schemas.openxmlformats.org/officeDocument/2006/relationships/externalLink" Target="externalLinks/externalLink18.xml"/><Relationship Id="rId66" Type="http://schemas.openxmlformats.org/officeDocument/2006/relationships/externalLink" Target="externalLinks/externalLink62.xml"/><Relationship Id="rId21" Type="http://schemas.openxmlformats.org/officeDocument/2006/relationships/externalLink" Target="externalLinks/externalLink17.xml"/><Relationship Id="rId65" Type="http://schemas.openxmlformats.org/officeDocument/2006/relationships/externalLink" Target="externalLinks/externalLink61.xml"/><Relationship Id="rId24" Type="http://schemas.openxmlformats.org/officeDocument/2006/relationships/externalLink" Target="externalLinks/externalLink20.xml"/><Relationship Id="rId23" Type="http://schemas.openxmlformats.org/officeDocument/2006/relationships/externalLink" Target="externalLinks/externalLink19.xml"/><Relationship Id="rId67" Type="http://customschemas.google.com/relationships/workbookmetadata" Target="metadata"/><Relationship Id="rId60" Type="http://schemas.openxmlformats.org/officeDocument/2006/relationships/externalLink" Target="externalLinks/externalLink56.xml"/><Relationship Id="rId26" Type="http://schemas.openxmlformats.org/officeDocument/2006/relationships/externalLink" Target="externalLinks/externalLink22.xml"/><Relationship Id="rId25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4.xml"/><Relationship Id="rId27" Type="http://schemas.openxmlformats.org/officeDocument/2006/relationships/externalLink" Target="externalLinks/externalLink23.xml"/><Relationship Id="rId29" Type="http://schemas.openxmlformats.org/officeDocument/2006/relationships/externalLink" Target="externalLinks/externalLink25.xml"/><Relationship Id="rId51" Type="http://schemas.openxmlformats.org/officeDocument/2006/relationships/externalLink" Target="externalLinks/externalLink47.xml"/><Relationship Id="rId50" Type="http://schemas.openxmlformats.org/officeDocument/2006/relationships/externalLink" Target="externalLinks/externalLink46.xml"/><Relationship Id="rId53" Type="http://schemas.openxmlformats.org/officeDocument/2006/relationships/externalLink" Target="externalLinks/externalLink49.xml"/><Relationship Id="rId52" Type="http://schemas.openxmlformats.org/officeDocument/2006/relationships/externalLink" Target="externalLinks/externalLink48.xml"/><Relationship Id="rId11" Type="http://schemas.openxmlformats.org/officeDocument/2006/relationships/externalLink" Target="externalLinks/externalLink7.xml"/><Relationship Id="rId55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6.xml"/><Relationship Id="rId54" Type="http://schemas.openxmlformats.org/officeDocument/2006/relationships/externalLink" Target="externalLinks/externalLink50.xml"/><Relationship Id="rId13" Type="http://schemas.openxmlformats.org/officeDocument/2006/relationships/externalLink" Target="externalLinks/externalLink9.xml"/><Relationship Id="rId57" Type="http://schemas.openxmlformats.org/officeDocument/2006/relationships/externalLink" Target="externalLinks/externalLink53.xml"/><Relationship Id="rId12" Type="http://schemas.openxmlformats.org/officeDocument/2006/relationships/externalLink" Target="externalLinks/externalLink8.xml"/><Relationship Id="rId56" Type="http://schemas.openxmlformats.org/officeDocument/2006/relationships/externalLink" Target="externalLinks/externalLink52.xml"/><Relationship Id="rId15" Type="http://schemas.openxmlformats.org/officeDocument/2006/relationships/externalLink" Target="externalLinks/externalLink11.xml"/><Relationship Id="rId59" Type="http://schemas.openxmlformats.org/officeDocument/2006/relationships/externalLink" Target="externalLinks/externalLink55.xml"/><Relationship Id="rId14" Type="http://schemas.openxmlformats.org/officeDocument/2006/relationships/externalLink" Target="externalLinks/externalLink10.xml"/><Relationship Id="rId58" Type="http://schemas.openxmlformats.org/officeDocument/2006/relationships/externalLink" Target="externalLinks/externalLink54.xml"/><Relationship Id="rId17" Type="http://schemas.openxmlformats.org/officeDocument/2006/relationships/externalLink" Target="externalLinks/externalLink13.xml"/><Relationship Id="rId16" Type="http://schemas.openxmlformats.org/officeDocument/2006/relationships/externalLink" Target="externalLinks/externalLink12.xml"/><Relationship Id="rId19" Type="http://schemas.openxmlformats.org/officeDocument/2006/relationships/externalLink" Target="externalLinks/externalLink15.xml"/><Relationship Id="rId18" Type="http://schemas.openxmlformats.org/officeDocument/2006/relationships/externalLink" Target="externalLinks/externalLink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inesp/Downloads/internacional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FS-TDT-A/VOL2/CONSULT/CLIENTES/SEMUBROU/Calc999/MODELO/Modelo%20de%20pruebas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/FS-TDT-A/VOL2/CONSULT/CLIENTES/SEMUOSE/CALC0698/MODELO/FLUJO98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/FS-TDT-A/VOL2/CONSULT/ECONOMIA/SEMEST/Semestral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/uymvdapp18/Grupales/consult/ECONOMIA/CUADROS/BRASIL.XLS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inesp/Downloads/INTERNAC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/FS-TDT-A/VOL2/CONSULT/ECONOMIA/SEMEST/0012U3nuevabase.xls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/esmadfsr05/TRANSERV/DOCUME~1/n64852/LOCALS~1/Temp/Rar$DI01.796/PROJECT/ONGOING/ONGOING/Tobepal%20II/Analisis/Tobepal/Tobepal%20ind/TOBEPAL.-RDOS.EXPLOTACION%20MENS.00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/Sfpmgt01/jmgtfinance/FIN-DEPT/1MTD%20RPT/2002-12/FS/SIDE%202002-12.xls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F:\Plan%20Grupo\2005-2008\Borrador\Espa&#241;a\planespa&#241;a.xls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/MBSHARE/LOGO/Documents/Backup%204_feb/Ocean/bottom%20up.xls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openxmlformats.org/officeDocument/2006/relationships/externalLinkPath" Target="/Esmadfsr05/CoRe/2001/Spirits%20&amp;%20Wine/Deal/Nightlife/Bacardi%20Financing/Models/TEMP/22-03-99/B%20T%20C/OTE%20AND%20MERGER%20ANALYSIS%20-%203.xls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openxmlformats.org/officeDocument/2006/relationships/externalLinkPath" Target="/Juanb/PROYECTOS%20OVIEDO%20Y%20MOLINOS/Mis%20documentos/PRESUPUESTO/PPTO%202002/PRESUPUESTO%20FINANCIERO%202002.xls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openxmlformats.org/officeDocument/2006/relationships/externalLinkPath" Target="/Esmadfsr05/TRANSERV/NY%20Deals/Portfolio/Schoor/CMX%20Acquisition/Model/Initial%20IC/Comps.xls" TargetMode="External"/></Relationships>
</file>

<file path=xl/externalLinks/_rels/externalLink15.xml.rels><?xml version="1.0" encoding="UTF-8" standalone="yes"?><Relationships xmlns="http://schemas.openxmlformats.org/package/2006/relationships"><Relationship Id="rId1" Type="http://schemas.openxmlformats.org/officeDocument/2006/relationships/externalLinkPath" Target="/hpsjnts2/CSSDFIN/SJ/ICFAB/ICP&amp;L99/ICACPL98.xls" TargetMode="External"/></Relationships>
</file>

<file path=xl/externalLinks/_rels/externalLink16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intranet.nestle.com/MASD/99jun-out/PARAMETE/KEYPARA/KEYPARA.XLS" TargetMode="External"/></Relationships>
</file>

<file path=xl/externalLinks/_rels/externalLink17.xml.rels><?xml version="1.0" encoding="UTF-8" standalone="yes"?><Relationships xmlns="http://schemas.openxmlformats.org/package/2006/relationships"><Relationship Id="rId1" Type="http://schemas.openxmlformats.org/officeDocument/2006/relationships/externalLinkPath" Target="/Pma0531f13/SYS1/Documents%20and%20Settings/bjagoe/My%20Documents/Data/First%20Reserve/Tri%20Tool/Tri%20Tool%20Template.xls" TargetMode="External"/></Relationships>
</file>

<file path=xl/externalLinks/_rels/externalLink18.xml.rels><?xml version="1.0" encoding="UTF-8" standalone="yes"?><Relationships xmlns="http://schemas.openxmlformats.org/package/2006/relationships"><Relationship Id="rId1" Type="http://schemas.openxmlformats.org/officeDocument/2006/relationships/externalLinkPath" Target="/Demucfsr12/dtg_7/Vineet/media/BEC/becworld-6.xls" TargetMode="External"/></Relationships>
</file>

<file path=xl/externalLinks/_rels/externalLink19.xml.rels><?xml version="1.0" encoding="UTF-8" standalone="yes"?><Relationships xmlns="http://schemas.openxmlformats.org/package/2006/relationships"><Relationship Id="rId1" Type="http://schemas.openxmlformats.org/officeDocument/2006/relationships/externalLinkPath" Target="/chzhbfsr01/ZHB-TS/Healthcare/Organon/PHARMA/Company%20profiles/Organon%20(Akzo%20Nobel)/Organon.xls" TargetMode="External"/></Relationships>
</file>

<file path=xl/externalLinks/_rels/externalLink20.xml.rels><?xml version="1.0" encoding="UTF-8" standalone="yes"?><Relationships xmlns="http://schemas.openxmlformats.org/package/2006/relationships"><Relationship Id="rId1" Type="http://schemas.openxmlformats.org/officeDocument/2006/relationships/externalLinkPath" Target="/Corporate/data/USERS/CSpitz/Trends/Con-OpSum.XLS" TargetMode="External"/></Relationships>
</file>

<file path=xl/externalLinks/_rels/externalLink2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IB\IB\Vasily%20Smekalov\RAO\Modelling\Model\OGK-3_template_v20_24May2007.xls" TargetMode="External"/></Relationships>
</file>

<file path=xl/externalLinks/_rels/externalLink22.xml.rels><?xml version="1.0" encoding="UTF-8" standalone="yes"?><Relationships xmlns="http://schemas.openxmlformats.org/package/2006/relationships"><Relationship Id="rId1" Type="http://schemas.openxmlformats.org/officeDocument/2006/relationships/externalLinkPath" Target="/Esmadfsr05/TRANSERV/Users/bhupinder1/AppData/Local/Microsoft/Windows/Temporary%20Internet%20Files/Content.Outlook/1JBCLHBU/CIP%20%20Backup_vMASTER_v2.xlsx" TargetMode="External"/></Relationships>
</file>

<file path=xl/externalLinks/_rels/externalLink23.xml.rels><?xml version="1.0" encoding="UTF-8" standalone="yes"?><Relationships xmlns="http://schemas.openxmlformats.org/package/2006/relationships"><Relationship Id="rId1" Type="http://schemas.openxmlformats.org/officeDocument/2006/relationships/externalLinkPath" Target="/Esmadfsr05/TRANSERV/Users/bhupinder1/AppData/Local/Microsoft/Windows/Temporary%20Internet%20Files/Content.Outlook/1JBCLHBU/Genpact%20Slides.xls" TargetMode="External"/></Relationships>
</file>

<file path=xl/externalLinks/_rels/externalLink24.xml.rels><?xml version="1.0" encoding="UTF-8" standalone="yes"?><Relationships xmlns="http://schemas.openxmlformats.org/package/2006/relationships"><Relationship Id="rId1" Type="http://schemas.openxmlformats.org/officeDocument/2006/relationships/externalLinkPath" Target="/esmadfsr05/TRANSERV/Documents%20and%20Settings/N52133/Local%20Settings/Temporary%20Internet%20Files/OLK203/transaction%20multiples.xls" TargetMode="External"/></Relationships>
</file>

<file path=xl/externalLinks/_rels/externalLink25.xml.rels><?xml version="1.0" encoding="UTF-8" standalone="yes"?><Relationships xmlns="http://schemas.openxmlformats.org/package/2006/relationships"><Relationship Id="rId1" Type="http://schemas.openxmlformats.org/officeDocument/2006/relationships/externalLinkPath" Target="/Esmadfsr05/TRANSERV/Prospects/Project%20Horizon/Exhibits/InMotion%20Exhibits%20v9.xls" TargetMode="External"/></Relationships>
</file>

<file path=xl/externalLinks/_rels/externalLink2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Y:\FA1\Fa-0008.xls" TargetMode="External"/></Relationships>
</file>

<file path=xl/externalLinks/_rels/externalLink27.xml.rels><?xml version="1.0" encoding="UTF-8" standalone="yes"?><Relationships xmlns="http://schemas.openxmlformats.org/package/2006/relationships"><Relationship Id="rId1" Type="http://schemas.openxmlformats.org/officeDocument/2006/relationships/externalLinkPath" Target="/UYMTVW0000/Shares/MASD/99jun-out/PARAMETE/KEYPARA/KEYPARA.XLS" TargetMode="External"/></Relationships>
</file>

<file path=xl/externalLinks/_rels/externalLink28.xml.rels><?xml version="1.0" encoding="UTF-8" standalone="yes"?><Relationships xmlns="http://schemas.openxmlformats.org/package/2006/relationships"><Relationship Id="rId1" Type="http://schemas.openxmlformats.org/officeDocument/2006/relationships/externalLinkPath" Target="/Reuibd01/ibdshare2/corpfin/EMPLOYEE/Frazzo/Projects/French%20M&amp;A/Decaux/Update%20Valo%2019%2006%2000/Valuation%20Model%20Decaux%2019%2006%2000.xls" TargetMode="External"/></Relationships>
</file>

<file path=xl/externalLinks/_rels/externalLink2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TEMP\AcqImpactModel_ABC+XYZ_1.xls" TargetMode="External"/></Relationships>
</file>

<file path=xl/externalLinks/_rels/externalLink30.xml.rels><?xml version="1.0" encoding="UTF-8" standalone="yes"?><Relationships xmlns="http://schemas.openxmlformats.org/package/2006/relationships"><Relationship Id="rId1" Type="http://schemas.openxmlformats.org/officeDocument/2006/relationships/externalLinkPath" Target="/usrlnas01g/groups/MD/Finance/Access/ACCESS/2008/2008%20Close/3_March%202008/March%20Close%20Detail/March%20Hosp%20Data%202008.xls" TargetMode="External"/></Relationships>
</file>

<file path=xl/externalLinks/_rels/externalLink31.xml.rels><?xml version="1.0" encoding="UTF-8" standalone="yes"?><Relationships xmlns="http://schemas.openxmlformats.org/package/2006/relationships"><Relationship Id="rId1" Type="http://schemas.openxmlformats.org/officeDocument/2006/relationships/externalLinkPath" Target="/Esmadfsr05/TEMP/US%20compsa.xls" TargetMode="External"/></Relationships>
</file>

<file path=xl/externalLinks/_rels/externalLink32.xml.rels><?xml version="1.0" encoding="UTF-8" standalone="yes"?><Relationships xmlns="http://schemas.openxmlformats.org/package/2006/relationships"><Relationship Id="rId1" Type="http://schemas.openxmlformats.org/officeDocument/2006/relationships/externalLinkPath" Target="/Esmadfsr05/data/Paper%20&amp;%20Forest/Comps/extra%20pages.xls" TargetMode="External"/></Relationships>
</file>

<file path=xl/externalLinks/_rels/externalLink33.xml.rels><?xml version="1.0" encoding="UTF-8" standalone="yes"?><Relationships xmlns="http://schemas.openxmlformats.org/package/2006/relationships"><Relationship Id="rId1" Type="http://schemas.openxmlformats.org/officeDocument/2006/relationships/externalLinkPath" Target="/Esmadfsr05/TRANSERV/Mis%20documentos/INFO%20CINES/informaci&#243;n%20cines.xls" TargetMode="External"/></Relationships>
</file>

<file path=xl/externalLinks/_rels/externalLink3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M:\IB%20Technology%20Group\Companies\Epicor\2%20-%20COMPS\archive\EPIC%20Comps%202007.02.19%20v3.xls" TargetMode="External"/></Relationships>
</file>

<file path=xl/externalLinks/_rels/externalLink35.xml.rels><?xml version="1.0" encoding="UTF-8" standalone="yes"?><Relationships xmlns="http://schemas.openxmlformats.org/package/2006/relationships"><Relationship Id="rId1" Type="http://schemas.openxmlformats.org/officeDocument/2006/relationships/externalLinkPath" Target="/chzhbfsr01/ZHB-TS/ORG-MA-CH/1%20%20Mandates/Rainbow/4_IM/Old%20versions/20070710_RAINBOW_IM.xls" TargetMode="External"/></Relationships>
</file>

<file path=xl/externalLinks/_rels/externalLink36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inesp/Downloads/POWER5.XLA" TargetMode="External"/></Relationships>
</file>

<file path=xl/externalLinks/_rels/externalLink37.xml.rels><?xml version="1.0" encoding="UTF-8" standalone="yes"?><Relationships xmlns="http://schemas.openxmlformats.org/package/2006/relationships"><Relationship Id="rId1" Type="http://schemas.openxmlformats.org/officeDocument/2006/relationships/externalLinkPath" Target="/Caottfsr02/fas/My%20Documents/coxdata/forecast%20pre-launch/Quarterly%20Treasury%20Cashflow%20December%206%202004.xls" TargetMode="External"/></Relationships>
</file>

<file path=xl/externalLinks/_rels/externalLink38.xml.rels><?xml version="1.0" encoding="UTF-8" standalone="yes"?><Relationships xmlns="http://schemas.openxmlformats.org/package/2006/relationships"><Relationship Id="rId1" Type="http://schemas.openxmlformats.org/officeDocument/2006/relationships/externalLinkPath" Target="/chzhbfsr01/ZHB-TS/Technology/A-%20Companies%20A-Z/D/DiData/Presentation/Backup/Valuation/Copy%20of%20Valuation%2023112005.xls" TargetMode="External"/></Relationships>
</file>

<file path=xl/externalLinks/_rels/externalLink3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J:\1jz\TrainingTheStreet\Presentations\Valuation\DCF%20&amp;%20LBO\Worksheet%20in%20Master%20Version%20DCF%20&amp;%20LBO%20for%20Fordham%20v2.0" TargetMode="External"/></Relationships>
</file>

<file path=xl/externalLinks/_rels/externalLink40.xml.rels><?xml version="1.0" encoding="UTF-8" standalone="yes"?><Relationships xmlns="http://schemas.openxmlformats.org/package/2006/relationships"><Relationship Id="rId1" Type="http://schemas.openxmlformats.org/officeDocument/2006/relationships/externalLinkPath" Target="/BBDLFS01/GROUPS/Market%20Research/Key%20Factors/Graph%205-13-97.xls" TargetMode="External"/></Relationships>
</file>

<file path=xl/externalLinks/_rels/externalLink4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CORPORATE\WINDOWS\Escritorio\SACYR\Concesiones\Multiplos(Concesiones).xls" TargetMode="External"/></Relationships>
</file>

<file path=xl/externalLinks/_rels/externalLink42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d.docs.live.net/a6220baa587c6c2d/Documentos/Wonder%20Brands/Capital%20Markets/3.%20Cap%20table/Wonder%20Brands%20Series%20A-1%20Pro%20Forma%20(6.8.22).xlsx" TargetMode="External"/></Relationships>
</file>

<file path=xl/externalLinks/_rels/externalLink43.xml.rels><?xml version="1.0" encoding="UTF-8" standalone="yes"?><Relationships xmlns="http://schemas.openxmlformats.org/package/2006/relationships"><Relationship Id="rId1" Type="http://schemas.openxmlformats.org/officeDocument/2006/relationships/externalLinkPath" Target="/esmadfsr103/T&amp;R%20-%20CSC/Users/xfarnos/AppData/Local/Capital%20IQ/Office%20Plug-in/Templates/Plug-In%20Tools/Capital%20IQ%20Identifier%20Convertor.xls" TargetMode="External"/></Relationships>
</file>

<file path=xl/externalLinks/_rels/externalLink44.xml.rels><?xml version="1.0" encoding="UTF-8" standalone="yes"?><Relationships xmlns="http://schemas.openxmlformats.org/package/2006/relationships"><Relationship Id="rId1" Type="http://schemas.openxmlformats.org/officeDocument/2006/relationships/externalLinkPath" Target="/Esmadfsr05/TRANSERV/Companies/Ecoplastics/Valuation/EcoPlastics%20Public%20and%20M&amp;A%20Comps%2020110707%20v2.xlsx" TargetMode="External"/></Relationships>
</file>

<file path=xl/externalLinks/_rels/externalLink45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inesp/Downloads/Argentina%20Diarias.xls" TargetMode="External"/></Relationships>
</file>

<file path=xl/externalLinks/_rels/externalLink46.xml.rels><?xml version="1.0" encoding="UTF-8" standalone="yes"?><Relationships xmlns="http://schemas.openxmlformats.org/package/2006/relationships"><Relationship Id="rId1" Type="http://schemas.openxmlformats.org/officeDocument/2006/relationships/externalLinkPath" Target="/Esmadfsr05/TRANSERV/Accounting/Financials/2011/Month-End/11'11/Journal%20Entries/SJE42dNOV11SR-%20Interest%20accrual%20on%20$15M%20funding.xlsm" TargetMode="External"/></Relationships>
</file>

<file path=xl/externalLinks/_rels/externalLink47.xml.rels><?xml version="1.0" encoding="UTF-8" standalone="yes"?><Relationships xmlns="http://schemas.openxmlformats.org/package/2006/relationships"><Relationship Id="rId1" Type="http://schemas.openxmlformats.org/officeDocument/2006/relationships/externalLinkPath" Target="/Esmadfsr05/TRANSERV/DERICKC/TECHN/CMSI/DIL.XLS" TargetMode="External"/></Relationships>
</file>

<file path=xl/externalLinks/_rels/externalLink48.xml.rels><?xml version="1.0" encoding="UTF-8" standalone="yes"?><Relationships xmlns="http://schemas.openxmlformats.org/package/2006/relationships"><Relationship Id="rId1" Type="http://schemas.openxmlformats.org/officeDocument/2006/relationships/externalLinkPath" Target="/uymvdapp18/Grupales/Users/mnmoreno/Desktop/KPMG%20Suiza/Project%20Coral/Uruguay/Modelos/St%20Louis%20-%20Dealers%20contract%20analysis.xlsx" TargetMode="External"/></Relationships>
</file>

<file path=xl/externalLinks/_rels/externalLink49.xml.rels><?xml version="1.0" encoding="UTF-8" standalone="yes"?><Relationships xmlns="http://schemas.openxmlformats.org/package/2006/relationships"><Relationship Id="rId1" Type="http://schemas.openxmlformats.org/officeDocument/2006/relationships/externalLinkPath" Target="/uymvdapp18/Grupales/FA1/Fa-0008.xls" TargetMode="External"/></Relationships>
</file>

<file path=xl/externalLinks/_rels/externalLink50.xml.rels><?xml version="1.0" encoding="UTF-8" standalone="yes"?><Relationships xmlns="http://schemas.openxmlformats.org/package/2006/relationships"><Relationship Id="rId1" Type="http://schemas.microsoft.com/office/2006/relationships/xlExternalLinkPath/xlPathMissing" Target="Worksheet%20in%205142%20MEF-%20Certificados%20internos%20de%20cr&#233;dito" TargetMode="External"/></Relationships>
</file>

<file path=xl/externalLinks/_rels/externalLink51.xml.rels><?xml version="1.0" encoding="UTF-8" standalone="yes"?><Relationships xmlns="http://schemas.openxmlformats.org/package/2006/relationships"><Relationship Id="rId1" Type="http://schemas.openxmlformats.org/officeDocument/2006/relationships/externalLinkPath" Target="/Corvus/PEContable/PEInformes/Bce%2007%20-%202005/06-Enero%2005/conversi&#243;n%20e%20informes/EFE%20acum%20ene.05.xls" TargetMode="External"/></Relationships>
</file>

<file path=xl/externalLinks/_rels/externalLink52.xml.rels><?xml version="1.0" encoding="UTF-8" standalone="yes"?><Relationships xmlns="http://schemas.openxmlformats.org/package/2006/relationships"><Relationship Id="rId1" Type="http://schemas.openxmlformats.org/officeDocument/2006/relationships/externalLinkPath" Target="/corvus/Presupuesto%20y%20Colaterales/Estados%20Contables%20-%20Colaterales/ESTADOS%20CONTABLES%20-%20JULIO%202003/Balances%20hist&#243;ricos%20Julio%202003/Brasil%20Jul.03.xls" TargetMode="External"/></Relationships>
</file>

<file path=xl/externalLinks/_rels/externalLink53.xml.rels><?xml version="1.0" encoding="UTF-8" standalone="yes"?><Relationships xmlns="http://schemas.openxmlformats.org/package/2006/relationships"><Relationship Id="rId1" Type="http://schemas.microsoft.com/office/2006/relationships/xlExternalLinkPath/xlPathMissing" Target="Worksheet%20in%20(C)%205370%20Rollforward%20Creditos%20por%20ventas" TargetMode="External"/></Relationships>
</file>

<file path=xl/externalLinks/_rels/externalLink54.xml.rels><?xml version="1.0" encoding="UTF-8" standalone="yes"?><Relationships xmlns="http://schemas.openxmlformats.org/package/2006/relationships"><Relationship Id="rId1" Type="http://schemas.microsoft.com/office/2006/relationships/xlExternalLinkPath/xlPathMissing" Target="Worksheet%20in%208340%20Cierre%20liquidaci&#243;n%20sueldos%20de%20Julio%2003" TargetMode="External"/></Relationships>
</file>

<file path=xl/externalLinks/_rels/externalLink55.xml.rels><?xml version="1.0" encoding="UTF-8" standalone="yes"?><Relationships xmlns="http://schemas.openxmlformats.org/package/2006/relationships"><Relationship Id="rId1" Type="http://schemas.microsoft.com/office/2006/relationships/xlExternalLinkPath/xlPathMissing" Target="Worksheet%20in%205340%20Inventarios%20deudores%20mayo%202004" TargetMode="External"/></Relationships>
</file>

<file path=xl/externalLinks/_rels/externalLink56.xml.rels><?xml version="1.0" encoding="UTF-8" standalone="yes"?><Relationships xmlns="http://schemas.openxmlformats.org/package/2006/relationships"><Relationship Id="rId1" Type="http://schemas.microsoft.com/office/2006/relationships/xlExternalLinkPath/xlPathMissing" Target="Worksheet%20in%205640%20Analisis%20de%20bienes%20de%20uso%20al%2031-07-05" TargetMode="External"/></Relationships>
</file>

<file path=xl/externalLinks/_rels/externalLink57.xml.rels><?xml version="1.0" encoding="UTF-8" standalone="yes"?><Relationships xmlns="http://schemas.openxmlformats.org/package/2006/relationships"><Relationship Id="rId1" Type="http://schemas.microsoft.com/office/2006/relationships/xlExternalLinkPath/xlPathMissing" Target="Worksheet%20in%208340%20Cierre%20liq.%20Sueldos%2007.04%20%20y%20%20C&#225;lculo%20Global%20Sueldos%20y%20CCSS" TargetMode="External"/></Relationships>
</file>

<file path=xl/externalLinks/_rels/externalLink58.xml.rels><?xml version="1.0" encoding="UTF-8" standalone="yes"?><Relationships xmlns="http://schemas.openxmlformats.org/package/2006/relationships"><Relationship Id="rId1" Type="http://schemas.openxmlformats.org/officeDocument/2006/relationships/externalLinkPath" Target="/Esmadfsr05/TRANSERV/Engagements%20-%20Active/h/WINDOWS/TEMP/GMMBSdetail.sch9A.xls" TargetMode="External"/></Relationships>
</file>

<file path=xl/externalLinks/_rels/externalLink5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C014078F\PresupMP_2002.xls" TargetMode="External"/></Relationships>
</file>

<file path=xl/externalLinks/_rels/externalLink6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X:\Julio%202009\AXI%20julio%2009%20p%2014%20v2%2016.09.09.xls" TargetMode="External"/></Relationships>
</file>

<file path=xl/externalLinks/_rels/externalLink61.xml.rels><?xml version="1.0" encoding="UTF-8" standalone="yes"?><Relationships xmlns="http://schemas.openxmlformats.org/package/2006/relationships"><Relationship Id="rId1" Type="http://schemas.openxmlformats.org/officeDocument/2006/relationships/externalLinkPath" Target="/Documents%20and%20Settings/isabele/Configuraci&#243;n%20local/Archivos%20temporales%20de%20Internet/OLK253/ModelosIberdrola/000_Ppto_2004/000_Ppto_2004/Mis%20documentos/Junio%2002/Tesorer&#237;a/Ppto%20tesorer&#237;a%202002%20abr%2002.xls" TargetMode="External"/></Relationships>
</file>

<file path=xl/externalLinks/_rels/externalLink62.xml.rels><?xml version="1.0" encoding="UTF-8" standalone="yes"?><Relationships xmlns="http://schemas.openxmlformats.org/package/2006/relationships"><Relationship Id="rId1" Type="http://schemas.openxmlformats.org/officeDocument/2006/relationships/externalLinkPath" Target="/chzhbfsr01/ZHB-TS/Due%20Diligence/2007%20DD%20Projects/Other%20Industrial%20(H19)/Project%20Lake/Infos%20received/Forecast/Ver%2016.06/Orders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icio"/>
      <sheetName val="Gráfico Nasdaq"/>
      <sheetName val="Gráfico Dow"/>
      <sheetName val="Planillas relacionadas"/>
      <sheetName val="pet"/>
      <sheetName val="Gráfico1"/>
      <sheetName val="Base diaria"/>
      <sheetName val="euro-tasas"/>
      <sheetName val="Variables Financieras"/>
      <sheetName val="Base Gráficos"/>
      <sheetName val="dólar TC efectivo"/>
      <sheetName val="Principales Divisas"/>
      <sheetName val="libor"/>
      <sheetName val="Commodities (2)"/>
      <sheetName val="Precios Internacionales"/>
      <sheetName val="Cuadros Babieca"/>
      <sheetName val="Cuadros"/>
      <sheetName val="curva de rendimiento"/>
      <sheetName val="Intranet"/>
      <sheetName val="Estructura tasas"/>
      <sheetName val="bolsas var anual"/>
      <sheetName val="oro"/>
      <sheetName val="euro yen"/>
      <sheetName val="federal funds y libor"/>
      <sheetName val="bolsas"/>
      <sheetName val="euro historia"/>
      <sheetName val="euro diaria"/>
      <sheetName val="bolsas (2)"/>
      <sheetName val="petróleo"/>
      <sheetName val="comm"/>
      <sheetName val="T10"/>
      <sheetName val="euro diaria (2)"/>
      <sheetName val="commodities historia"/>
      <sheetName val="commodities"/>
      <sheetName val="Nasdaq"/>
      <sheetName val="MERVAL-BOVESPA"/>
      <sheetName val="PRECIOS-INT"/>
      <sheetName val="DIARI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lujo"/>
      <sheetName val="pens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ESP"/>
      <sheetName val="P"/>
      <sheetName val="APM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e Anual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e mensual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icio"/>
      <sheetName val="Diarias1"/>
      <sheetName val="DIARIAS"/>
      <sheetName val="Cuadros"/>
      <sheetName val="DIVISAS"/>
      <sheetName val="VAR FINAN"/>
      <sheetName val="PRECIOS-INT"/>
      <sheetName val="Dow"/>
      <sheetName val="Nasdaq"/>
      <sheetName val="Brent diario"/>
      <sheetName val="Calif. Moody's"/>
      <sheetName val="Petróleo anual"/>
      <sheetName val="Gráfico1"/>
      <sheetName val="libor_F.F."/>
      <sheetName val="GRAFICOS"/>
      <sheetName val="Libor real"/>
      <sheetName val="Euro mensual-anual"/>
      <sheetName val="Crec mundial"/>
      <sheetName val="OPEP"/>
      <sheetName val="LIBOR"/>
      <sheetName val="Libor anual 12m"/>
      <sheetName val="PETROLEO PROMEDIO"/>
      <sheetName val="Conf. cons."/>
      <sheetName val="OPEP "/>
      <sheetName val="URUNET-INTRANET"/>
      <sheetName val="Fed-BCE"/>
      <sheetName val="tasa Fed"/>
      <sheetName val="tasas"/>
      <sheetName val="Prod_Básicos"/>
      <sheetName val="Volatilidad"/>
      <sheetName val="Libor diaria"/>
      <sheetName val="Materias primas"/>
      <sheetName val="ponderad. euro"/>
      <sheetName val="oro"/>
      <sheetName val="Euro"/>
      <sheetName val="Tasas_Bonos_30"/>
      <sheetName val="BONOS "/>
      <sheetName val="Yen"/>
      <sheetName val="Libor 6meses"/>
      <sheetName val="T-30"/>
      <sheetName val="Monedas Asia"/>
      <sheetName val="Petroleo"/>
      <sheetName val="Statistics"/>
      <sheetName val="ESTR.PLAZOS(2)"/>
      <sheetName val="tasas_estructura"/>
      <sheetName val="Gráfico2"/>
      <sheetName val="Bovespa (R$)"/>
      <sheetName val="Bovespa (R$) y Nasdaq"/>
      <sheetName val="MERVAL-BOVESPA"/>
      <sheetName val="MERVAL"/>
      <sheetName val="Brent diario (2)"/>
      <sheetName val="acciones del Nasdaq"/>
      <sheetName val="Dólar en Brasil"/>
      <sheetName val="Dow Jones"/>
      <sheetName val="EEUU, tasas"/>
      <sheetName val="Bovespa - Nasdaq (2)"/>
      <sheetName val="Bovespa (R$-US$)"/>
      <sheetName val="Bovespa - Nasdaq (3)"/>
      <sheetName val="OPEP Cap. estim"/>
      <sheetName val="Gráfico3"/>
      <sheetName val="DATOS países desarr."/>
      <sheetName val="EEUU, inflac."/>
      <sheetName val="JAPON,PBI"/>
      <sheetName val="USA,PBI"/>
      <sheetName val="Nasdaq (2)"/>
      <sheetName val="Dow &amp; Nasdaq"/>
      <sheetName val="DowJones"/>
      <sheetName val="Bovespa - Nasdaq"/>
      <sheetName val="Euro00"/>
      <sheetName val="LANA"/>
      <sheetName val="ESTR.PLAZOS1"/>
      <sheetName val="Brent-Inflación"/>
      <sheetName val="Euro 2"/>
      <sheetName val="Nikkei - largo plazo"/>
      <sheetName val="BOVESPA EN US$"/>
      <sheetName val="Dow_anual"/>
      <sheetName val="Dow-T30"/>
      <sheetName val="PBI_MUNDIAL"/>
      <sheetName val="Dólar en Brasil (2)"/>
      <sheetName val="Inf_Dev_Asia"/>
      <sheetName val="Volatilidad (1)"/>
      <sheetName val="Volatilidad (2)"/>
      <sheetName val="Volatilidad (3)"/>
      <sheetName val="ARGENTINA_BONO2027"/>
      <sheetName val="VAR-INTER"/>
      <sheetName val="Marcos_Francos"/>
      <sheetName val="hist. nasdaq"/>
      <sheetName val="Euro (2)"/>
      <sheetName val="Brent "/>
      <sheetName val="datos hist."/>
      <sheetName val="Euro Mensual"/>
      <sheetName val="Base divisas"/>
      <sheetName val="Base var. Finan."/>
      <sheetName val="Gráficos"/>
      <sheetName val="Base precios int"/>
      <sheetName val="Base diaria"/>
      <sheetName val="ESTR.PLAZOS"/>
      <sheetName val="Gráfico Nasdaq"/>
      <sheetName val="Gráfico Dow"/>
      <sheetName val="euro-tasas"/>
      <sheetName val="Base Gráficos"/>
      <sheetName val="Principales Divisas"/>
      <sheetName val="Variables Financieras"/>
      <sheetName val="Precios Internacionales"/>
      <sheetName val="Intranet"/>
      <sheetName val="curva de rendimiento"/>
      <sheetName val="Estructura tasas"/>
      <sheetName val="dólar TC efectivo"/>
      <sheetName val="bolsas var anual"/>
      <sheetName val="euro yen"/>
      <sheetName val="federal funds y libor"/>
      <sheetName val="bolsas"/>
      <sheetName val="euro historia"/>
      <sheetName val="euro diaria"/>
      <sheetName val="petróleo"/>
      <sheetName val="T10"/>
      <sheetName val="commodities historia"/>
      <sheetName val="commodities"/>
      <sheetName val="Base Mensua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O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S.DESV.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nual Input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ortada"/>
      <sheetName val="Hipótesis "/>
      <sheetName val="Es Fin"/>
      <sheetName val="SALDOS"/>
      <sheetName val="Es Fin (2)"/>
      <sheetName val="Gráfico1"/>
      <sheetName val="MIX"/>
      <sheetName val="1-Pers"/>
      <sheetName val="3-Mk"/>
      <sheetName val="2-Com"/>
      <sheetName val="4-mat"/>
      <sheetName val="5-impr"/>
      <sheetName val="6-dist"/>
      <sheetName val="7-serv. ext"/>
      <sheetName val="8-Resto gtos"/>
      <sheetName val="9-Telef"/>
      <sheetName val="10-Rdos FEx-Prov"/>
      <sheetName val="Calc com"/>
      <sheetName val="CF-Valor"/>
      <sheetName val="Inversiones"/>
      <sheetName val="Amort proy"/>
      <sheetName val="Ratios 90"/>
      <sheetName val="arboles"/>
      <sheetName val="Herramientas para análisis-VB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oforma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ssum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STOFINANC.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"/>
      <sheetName val="15"/>
      <sheetName val="16"/>
      <sheetName val="17"/>
      <sheetName val="18"/>
      <sheetName val="19"/>
      <sheetName val="20"/>
      <sheetName val="Company Descriptions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key parameter final"/>
      <sheetName val="key parameter1st"/>
      <sheetName val="economic indicators"/>
      <sheetName val="prices-major materials"/>
      <sheetName val="new products"/>
      <sheetName val="forex"/>
      <sheetName val="in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istorical IS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raph 1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useles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SPICE OPSUM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VER"/>
      <sheetName val="Control Panel"/>
      <sheetName val="Assumptions"/>
      <sheetName val="Prices"/>
      <sheetName val="PRODUCTION"/>
      <sheetName val="Consolidation"/>
      <sheetName val="Support"/>
      <sheetName val="Calculation"/>
      <sheetName val="WACC"/>
      <sheetName val="Backup"/>
      <sheetName val="Historicals"/>
      <sheetName val="Framework"/>
      <sheetName val="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9_28. FY 2012 Avg. Trans"/>
      <sheetName val="45. Historical Financials"/>
      <sheetName val="35. Store Openings Summary"/>
      <sheetName val="29. Category Inv Turns"/>
      <sheetName val="3 Months FY2013 Perf."/>
      <sheetName val="19. SSS Chart"/>
      <sheetName val="41. Daily Staffing Chart"/>
      <sheetName val="40. IT"/>
      <sheetName val="19. Shrink"/>
      <sheetName val="35. Store Openings (New Capex)"/>
      <sheetName val="37. Expiring Leases by FY"/>
      <sheetName val="31. Bus. Dev. Revenue"/>
      <sheetName val="14. Competitors LTM EBITDA"/>
      <sheetName val="14. Competitors CAG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Y2012 Merchandise Gross Margin"/>
      <sheetName val="Employee Daily Staffing Chart"/>
    </sheetNames>
    <sheetDataSet>
      <sheetData sheetId="0" refreshError="1"/>
      <sheetData sheetId="1" refreshError="1"/>
    </sheetDataSet>
  </externalBook>
</externalLink>
</file>

<file path=xl/externalLinks/externalLink2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Sheet3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 - EBITDA"/>
      <sheetName val="Data - Rev"/>
    </sheetNames>
    <sheetDataSet>
      <sheetData sheetId="0" refreshError="1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OTHFA-1"/>
      <sheetName val="OTHFA-2"/>
      <sheetName val="P&amp;M-1"/>
      <sheetName val="P&amp;M-2"/>
      <sheetName val="FA2"/>
      <sheetName val="JOURNAL"/>
      <sheetName val="Sheet2"/>
      <sheetName val="Sheet1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key parameter1st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U Comp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enchmarks"/>
      <sheetName val="Benchmarks Data"/>
      <sheetName val="Instructions"/>
      <sheetName val="TargetsLeases"/>
      <sheetName val="AcquirerLeases"/>
      <sheetName val="DataInput"/>
      <sheetName val="Standalone"/>
      <sheetName val="AllDebt"/>
      <sheetName val="DebtEquity Case 1"/>
      <sheetName val="DebtEquity Case 2"/>
      <sheetName val="DebtEquity Case 3"/>
      <sheetName val="Financial Summary"/>
      <sheetName val="Graphs"/>
      <sheetName val="Developer Notes"/>
      <sheetName val="LTM"/>
      <sheetName val="CREDIT STATS"/>
      <sheetName val="Toggles"/>
      <sheetName val="dPrint"/>
      <sheetName val="DropZone"/>
      <sheetName val="Optimal WACC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dj Sal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put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mps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aracteristica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heckSheet"/>
      <sheetName val="Conventions"/>
      <sheetName val="%%TOBA_CACHE%%"/>
      <sheetName val="Benchmarking"/>
      <sheetName val="INPUT"/>
      <sheetName val="Trading"/>
      <sheetName val="Operating"/>
      <sheetName val="M&amp;A profile fin insert"/>
      <sheetName val="pe rat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quities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OWER5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ference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ggles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 SHEET"/>
      <sheetName val="MAIN"/>
      <sheetName val="DIV INC"/>
      <sheetName val="MGT INPUTS"/>
      <sheetName val="LBO Analysis"/>
      <sheetName val="Valuation"/>
      <sheetName val="PPT Sheet"/>
      <sheetName val="WACC"/>
      <sheetName val="S&amp;P"/>
      <sheetName val="EQ. IRR"/>
      <sheetName val="COVEN"/>
      <sheetName val="SUMMARY"/>
      <sheetName val="Reconciliations"/>
      <sheetName val="Developer Notes"/>
      <sheetName val="LTM"/>
      <sheetName val="CREDIT STATS"/>
      <sheetName val="Toggles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ropZone"/>
      <sheetName val="LTM"/>
    </sheetNames>
    <sheetDataSet>
      <sheetData sheetId="0" refreshError="1"/>
      <sheetData sheetId="1" refreshError="1"/>
    </sheetDataSet>
  </externalBook>
</externalLink>
</file>

<file path=xl/externalLinks/externalLink4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loomberg"/>
      <sheetName val="Cartera Sacyr"/>
      <sheetName val="ValorMúliplos"/>
      <sheetName val="Beta"/>
      <sheetName val="DatosMuestra"/>
      <sheetName val="ACESA Ficha"/>
      <sheetName val="Aurea Ficha"/>
      <sheetName val="Europistas Ficha"/>
      <sheetName val="Cotizaciones"/>
      <sheetName val="Cap.Bur.trimestral"/>
      <sheetName val="Paramet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eries A-1 Pro Forma"/>
      <sheetName val="Summary cap table"/>
      <sheetName val="Intermediate cap"/>
      <sheetName val="Detailed Cap"/>
      <sheetName val="OR Certificate Ledger"/>
      <sheetName val="FF Certificate Ledger"/>
      <sheetName val="PS Certificate Ledger"/>
      <sheetName val="PS1 Certificate Ledger"/>
      <sheetName val="PS2 Certificate Ledger"/>
      <sheetName val="2021 Share Plan"/>
      <sheetName val="Convertible Ledg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mpanies"/>
      <sheetName val="People"/>
    </sheetNames>
    <sheetDataSet>
      <sheetData sheetId="0" refreshError="1"/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eerGroupM&amp;A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OLAR LIBRE"/>
      <sheetName val="Merval - $ y US$"/>
      <sheetName val="Base Diaria"/>
      <sheetName val="Country risk"/>
      <sheetName val="Riesgo Pais"/>
      <sheetName val="Depósitos"/>
      <sheetName val="Merval y Riesgo Pais"/>
      <sheetName val="Reservas"/>
      <sheetName val="Dólar"/>
      <sheetName val="merval"/>
      <sheetName val="Hoja1"/>
      <sheetName val="PRECIOS-INT"/>
      <sheetName val="VAR-INTER"/>
      <sheetName val="Base Mensual"/>
      <sheetName val="D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opCache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IL4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t Louis - Dealers contract ana"/>
    </sheetNames>
    <definedNames>
      <definedName name="Integer"/>
    </defined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OTHFA-1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ef-Certificados 31.07.04"/>
      <sheetName val="XREF"/>
      <sheetName val="Tickmarks"/>
      <sheetName val="#REF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.1.1.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M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aldos"/>
      <sheetName val="11311000"/>
      <sheetName val="11311050"/>
      <sheetName val="11311400"/>
      <sheetName val="11312000"/>
      <sheetName val="11312001"/>
      <sheetName val="11312400"/>
      <sheetName val="11312100"/>
      <sheetName val="11331100"/>
      <sheetName val="11402000"/>
      <sheetName val="11402010 "/>
      <sheetName val="11405000"/>
      <sheetName val="11405100"/>
      <sheetName val="sdos acreed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rabajo"/>
      <sheetName val="Codigos"/>
      <sheetName val="Sdos.liq.sueldos"/>
      <sheetName val="Asiento sueldos 0703"/>
      <sheetName val="cierre (ctas. resultados)"/>
      <sheetName val="Calculo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aldos"/>
      <sheetName val="11311000"/>
      <sheetName val="11311050"/>
      <sheetName val="11311100"/>
      <sheetName val="11311101"/>
      <sheetName val="11311200"/>
      <sheetName val="11311201"/>
      <sheetName val="11311210"/>
      <sheetName val="11311300"/>
      <sheetName val="11312000"/>
      <sheetName val="11312001"/>
      <sheetName val="11331100"/>
      <sheetName val="11402000"/>
      <sheetName val="11405000"/>
      <sheetName val="11402010"/>
      <sheetName val="sdos acreed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nálisis"/>
      <sheetName val="formato informe"/>
      <sheetName val="Cuadro abierto al 310705"/>
      <sheetName val="Cuadro cerrado al 310705"/>
      <sheetName val="Altas"/>
      <sheetName val="cuadro 0704"/>
      <sheetName val="Tildes"/>
      <sheetName val="X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Obj., proced y concl."/>
      <sheetName val="Códigos"/>
      <sheetName val="$ liq. julio x código"/>
      <sheetName val="Asiento HR 07.04"/>
      <sheetName val="Cierre liq. vs. cont."/>
      <sheetName val="Cálculo"/>
      <sheetName val="SA Cargas Sociales"/>
      <sheetName val="Tabla Aportes"/>
      <sheetName val="XREF"/>
      <sheetName val="Tickmarks"/>
      <sheetName val="cuota prejub."/>
      <sheetName val="Prejub."/>
      <sheetName val="altas y baj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CHEDULE 9A(1 of 3)"/>
    </sheetNames>
    <sheetDataSet>
      <sheetData sheetId="0" refreshError="1"/>
    </sheetDataSet>
  </externalBook>
</externalLink>
</file>

<file path=xl/externalLinks/externalLink5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ortada"/>
      <sheetName val="Portada (2)"/>
      <sheetName val="Portada (3)"/>
      <sheetName val="Portada (4)"/>
      <sheetName val="Analítica ac."/>
      <sheetName val="P&amp;L"/>
      <sheetName val="Contenidos"/>
      <sheetName val="Vía Digital"/>
      <sheetName val="Quiero TV"/>
      <sheetName val="Cable"/>
      <sheetName val="Publicidad"/>
      <sheetName val="Parque"/>
      <sheetName val="indir"/>
      <sheetName val="Amort. Derechos"/>
      <sheetName val="Analítica Cont"/>
      <sheetName val="AnmI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6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structivo"/>
      <sheetName val="indice"/>
      <sheetName val="1. Datos"/>
      <sheetName val="2. Bajada de sap"/>
      <sheetName val="3.1. ESP AXI abierto"/>
      <sheetName val="3.2. ESP AXI resumido"/>
      <sheetName val="3.3. ESP comp"/>
      <sheetName val="3.4. ESP RES Y COMP"/>
      <sheetName val="4. Inversiones"/>
      <sheetName val="5.1. Cuadro BS. USO AXI"/>
      <sheetName val="5.2. BU comp"/>
      <sheetName val="6.1. EEvolPat"/>
      <sheetName val="6.2. EEP comp"/>
      <sheetName val="6.3. EEP completo "/>
      <sheetName val="7. Patrimonio"/>
      <sheetName val="8.1. ER AXI abierto"/>
      <sheetName val="8.2. ER AxI resumido"/>
      <sheetName val="8.3. ER comp"/>
      <sheetName val="8.4. ER AxI resumido comp"/>
      <sheetName val="9. Aj results"/>
      <sheetName val="10.1. ANEXO 4 Acum AXI"/>
      <sheetName val="10.2. Resumen uyu acum "/>
      <sheetName val="10.3. Aj bs.cambio"/>
      <sheetName val="11.1. Verif DCR"/>
      <sheetName val="11.2. Verif RDM "/>
      <sheetName val="12.1. EFE AXI"/>
      <sheetName val="12.2. Armado efe"/>
      <sheetName val="12.3. Efe comp"/>
      <sheetName val="12.4. EFE AXI comp"/>
      <sheetName val="13.1. CD"/>
      <sheetName val="13.2. AC"/>
      <sheetName val="15.3.3 Covenants"/>
      <sheetName val="14.1. Estad cons"/>
      <sheetName val="14.2. Estad indiv"/>
      <sheetName val="14.3. COMPARATIVO"/>
      <sheetName val="15.1.2. NOTAS JUL AUDIT"/>
      <sheetName val="15.1.2. NOTAS TRIM"/>
      <sheetName val="15.2.1. Notas comp ESP"/>
      <sheetName val="15.2.2. Notas comp ER"/>
      <sheetName val="15.3.1. Riesgo cred"/>
      <sheetName val="15.3.2 Deuda financ"/>
      <sheetName val="15.3.4. 9213"/>
      <sheetName val="15.1.1. NOTAS"/>
      <sheetName val="15.3.5. Posición"/>
      <sheetName val="15.3.6. Nota pos mon"/>
      <sheetName val="15.3.7. Comp AXI"/>
      <sheetName val="16. ASIENTO AXI"/>
      <sheetName val="17. Cierre bce per 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6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P + PN"/>
      <sheetName val="MP y PN separado"/>
      <sheetName val="MP + PN Abierto"/>
      <sheetName val="Ppto actualizado"/>
      <sheetName val="MP y PN actualizado"/>
      <sheetName val="Detalle"/>
      <sheetName val="P&amp;L"/>
      <sheetName val="Contenidos"/>
      <sheetName val="Vía Digital (2)"/>
      <sheetName val="Quiero TV (2)"/>
      <sheetName val="Cable"/>
      <sheetName val="Publicidad"/>
      <sheetName val="Parque"/>
      <sheetName val="indi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 and Parameters"/>
      <sheetName val="02-03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showGridLines="0" workbookViewId="0">
      <pane xSplit="3.0" ySplit="18.0" topLeftCell="D19" activePane="bottomRight" state="frozen"/>
      <selection activeCell="D1" sqref="D1" pane="topRight"/>
      <selection activeCell="A19" sqref="A19" pane="bottomLeft"/>
      <selection activeCell="D19" sqref="D19" pane="bottomRight"/>
    </sheetView>
  </sheetViews>
  <sheetFormatPr customHeight="1" defaultColWidth="14.43" defaultRowHeight="15.0" outlineLevelRow="1"/>
  <cols>
    <col customWidth="1" min="1" max="2" width="3.43"/>
    <col customWidth="1" min="3" max="3" width="48.57"/>
    <col customWidth="1" min="4" max="4" width="20.14"/>
    <col customWidth="1" min="5" max="5" width="18.14"/>
    <col customWidth="1" min="6" max="13" width="15.29"/>
    <col customWidth="1" min="14" max="14" width="25.71"/>
    <col customWidth="1" min="15" max="15" width="18.29"/>
    <col customWidth="1" min="16" max="16" width="9.29"/>
    <col customWidth="1" min="17" max="17" width="15.43"/>
    <col customWidth="1" min="18" max="26" width="9.29"/>
  </cols>
  <sheetData>
    <row r="1" ht="14.25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hidden="1" customHeight="1" outlineLevel="1">
      <c r="A2" s="3"/>
      <c r="B2" s="1"/>
      <c r="C2" s="4" t="s">
        <v>1</v>
      </c>
      <c r="D2" s="2"/>
      <c r="E2" s="2"/>
      <c r="F2" s="2"/>
      <c r="G2" s="2"/>
      <c r="H2" s="5"/>
      <c r="I2" s="5"/>
      <c r="J2" s="5"/>
      <c r="K2" s="5"/>
      <c r="L2" s="5"/>
      <c r="M2" s="5"/>
      <c r="N2" s="5"/>
      <c r="O2" s="5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hidden="1" customHeight="1" outlineLevel="1">
      <c r="A3" s="3"/>
      <c r="B3" s="1"/>
      <c r="C3" s="6"/>
      <c r="D3" s="2"/>
      <c r="E3" s="2"/>
      <c r="F3" s="2"/>
      <c r="G3" s="2"/>
      <c r="H3" s="5"/>
      <c r="I3" s="5"/>
      <c r="J3" s="5"/>
      <c r="K3" s="5"/>
      <c r="L3" s="5"/>
      <c r="M3" s="5"/>
      <c r="N3" s="5"/>
      <c r="O3" s="5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hidden="1" customHeight="1" outlineLevel="1">
      <c r="A4" s="3"/>
      <c r="B4" s="1"/>
      <c r="C4" s="7" t="s">
        <v>2</v>
      </c>
      <c r="D4" s="8"/>
      <c r="E4" s="9"/>
      <c r="F4" s="2"/>
      <c r="G4" s="10" t="s">
        <v>3</v>
      </c>
      <c r="H4" s="9"/>
      <c r="I4" s="11">
        <v>0.1</v>
      </c>
      <c r="J4" s="5"/>
      <c r="K4" s="5"/>
      <c r="L4" s="5"/>
      <c r="M4" s="5"/>
      <c r="N4" s="5"/>
      <c r="O4" s="5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hidden="1" customHeight="1" outlineLevel="1">
      <c r="A5" s="3"/>
      <c r="B5" s="1"/>
      <c r="C5" s="7" t="s">
        <v>4</v>
      </c>
      <c r="D5" s="12"/>
      <c r="E5" s="9"/>
      <c r="F5" s="2"/>
      <c r="G5" s="13" t="s">
        <v>5</v>
      </c>
      <c r="H5" s="9"/>
      <c r="I5" s="14">
        <v>0.1</v>
      </c>
      <c r="J5" s="5"/>
      <c r="K5" s="5"/>
      <c r="L5" s="5"/>
      <c r="M5" s="5"/>
      <c r="N5" s="5"/>
      <c r="O5" s="5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hidden="1" customHeight="1" outlineLevel="1">
      <c r="A6" s="3"/>
      <c r="B6" s="1"/>
      <c r="C6" s="7" t="s">
        <v>6</v>
      </c>
      <c r="D6" s="12"/>
      <c r="E6" s="9"/>
      <c r="F6" s="2"/>
      <c r="G6" s="13" t="s">
        <v>7</v>
      </c>
      <c r="H6" s="9"/>
      <c r="I6" s="15">
        <v>0.0</v>
      </c>
      <c r="J6" s="5"/>
      <c r="K6" s="5"/>
      <c r="L6" s="5"/>
      <c r="M6" s="5"/>
      <c r="N6" s="5"/>
      <c r="O6" s="5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hidden="1" customHeight="1" outlineLevel="1">
      <c r="A7" s="3"/>
      <c r="B7" s="1"/>
      <c r="C7" s="7" t="s">
        <v>8</v>
      </c>
      <c r="D7" s="16"/>
      <c r="E7" s="9"/>
      <c r="F7" s="2"/>
      <c r="G7" s="13" t="s">
        <v>9</v>
      </c>
      <c r="H7" s="9"/>
      <c r="I7" s="15"/>
      <c r="J7" s="5"/>
      <c r="K7" s="5"/>
      <c r="L7" s="5"/>
      <c r="M7" s="5"/>
      <c r="N7" s="5"/>
      <c r="O7" s="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hidden="1" customHeight="1" outlineLevel="1">
      <c r="A8" s="3"/>
      <c r="B8" s="1"/>
      <c r="C8" s="7" t="s">
        <v>10</v>
      </c>
      <c r="D8" s="8"/>
      <c r="E8" s="9"/>
      <c r="F8" s="2"/>
      <c r="G8" s="13" t="s">
        <v>11</v>
      </c>
      <c r="H8" s="9"/>
      <c r="I8" s="17"/>
      <c r="J8" s="5"/>
      <c r="K8" s="5"/>
      <c r="L8" s="5"/>
      <c r="M8" s="5"/>
      <c r="N8" s="5"/>
      <c r="O8" s="5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hidden="1" customHeight="1" outlineLevel="1">
      <c r="A9" s="3"/>
      <c r="B9" s="1"/>
      <c r="C9" s="7" t="s">
        <v>12</v>
      </c>
      <c r="D9" s="12"/>
      <c r="E9" s="9"/>
      <c r="F9" s="2"/>
      <c r="G9" s="2"/>
      <c r="H9" s="5"/>
      <c r="I9" s="5"/>
      <c r="J9" s="5"/>
      <c r="K9" s="5"/>
      <c r="L9" s="5"/>
      <c r="M9" s="5"/>
      <c r="N9" s="5"/>
      <c r="O9" s="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hidden="1" customHeight="1" outlineLevel="1">
      <c r="A10" s="3"/>
      <c r="B10" s="1"/>
      <c r="C10" s="7" t="s">
        <v>13</v>
      </c>
      <c r="D10" s="8"/>
      <c r="E10" s="9"/>
      <c r="F10" s="2"/>
      <c r="G10" s="2"/>
      <c r="H10" s="5"/>
      <c r="I10" s="5"/>
      <c r="J10" s="5"/>
      <c r="K10" s="5"/>
      <c r="L10" s="5"/>
      <c r="M10" s="5"/>
      <c r="N10" s="5"/>
      <c r="O10" s="5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hidden="1" customHeight="1" outlineLevel="1">
      <c r="A11" s="3"/>
      <c r="B11" s="1"/>
      <c r="C11" s="7" t="s">
        <v>14</v>
      </c>
      <c r="D11" s="8"/>
      <c r="E11" s="9"/>
      <c r="F11" s="2"/>
      <c r="G11" s="2"/>
      <c r="H11" s="5"/>
      <c r="I11" s="5"/>
      <c r="J11" s="5"/>
      <c r="K11" s="5"/>
      <c r="L11" s="5"/>
      <c r="M11" s="5"/>
      <c r="N11" s="5"/>
      <c r="O11" s="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hidden="1" customHeight="1" outlineLevel="1">
      <c r="A12" s="3"/>
      <c r="B12" s="1"/>
      <c r="C12" s="7" t="s">
        <v>15</v>
      </c>
      <c r="D12" s="8"/>
      <c r="E12" s="9"/>
      <c r="F12" s="2"/>
      <c r="G12" s="2"/>
      <c r="H12" s="5"/>
      <c r="I12" s="5"/>
      <c r="J12" s="5"/>
      <c r="K12" s="5"/>
      <c r="L12" s="5"/>
      <c r="M12" s="5"/>
      <c r="N12" s="5"/>
      <c r="O12" s="5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0" hidden="1" customHeight="1" outlineLevel="1">
      <c r="A13" s="3"/>
      <c r="B13" s="1"/>
      <c r="C13" s="7" t="s">
        <v>16</v>
      </c>
      <c r="D13" s="18"/>
      <c r="E13" s="9"/>
      <c r="F13" s="2"/>
      <c r="G13" s="2"/>
      <c r="H13" s="5"/>
      <c r="I13" s="5"/>
      <c r="J13" s="5"/>
      <c r="K13" s="5"/>
      <c r="L13" s="5"/>
      <c r="M13" s="5"/>
      <c r="N13" s="5"/>
      <c r="O13" s="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hidden="1" customHeight="1" outlineLevel="1">
      <c r="A14" s="3"/>
      <c r="B14" s="1"/>
      <c r="C14" s="7" t="s">
        <v>17</v>
      </c>
      <c r="D14" s="12"/>
      <c r="E14" s="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hidden="1" customHeight="1" outlineLevel="1">
      <c r="A15" s="3"/>
      <c r="B15" s="1"/>
      <c r="C15" s="2"/>
      <c r="D15" s="2"/>
      <c r="E15" s="2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hidden="1" customHeight="1" outlineLevel="1">
      <c r="A16" s="3"/>
      <c r="B16" s="1"/>
      <c r="C16" s="2"/>
      <c r="D16" s="2"/>
      <c r="E16" s="2"/>
      <c r="F16" s="2"/>
      <c r="G16" s="2"/>
      <c r="H16" s="5"/>
      <c r="I16" s="5"/>
      <c r="J16" s="5"/>
      <c r="K16" s="5"/>
      <c r="L16" s="5"/>
      <c r="M16" s="5"/>
      <c r="N16" s="5"/>
      <c r="O16" s="5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 collapsed="1">
      <c r="A17" s="1"/>
      <c r="B17" s="1"/>
      <c r="C17" s="20" t="s">
        <v>18</v>
      </c>
      <c r="D17" s="21" t="s">
        <v>19</v>
      </c>
      <c r="E17" s="22" t="s">
        <v>20</v>
      </c>
      <c r="F17" s="21" t="s">
        <v>21</v>
      </c>
      <c r="G17" s="21" t="s">
        <v>22</v>
      </c>
      <c r="H17" s="21" t="s">
        <v>23</v>
      </c>
      <c r="I17" s="21" t="s">
        <v>24</v>
      </c>
      <c r="J17" s="21" t="s">
        <v>25</v>
      </c>
      <c r="K17" s="21" t="s">
        <v>26</v>
      </c>
      <c r="L17" s="21" t="s">
        <v>3</v>
      </c>
      <c r="M17" s="21" t="s">
        <v>27</v>
      </c>
      <c r="N17" s="21" t="s">
        <v>28</v>
      </c>
      <c r="O17" s="23" t="s">
        <v>29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"/>
      <c r="B18" s="1"/>
      <c r="C18" s="24"/>
      <c r="D18" s="21" t="s">
        <v>30</v>
      </c>
      <c r="E18" s="22" t="s">
        <v>31</v>
      </c>
      <c r="F18" s="21" t="s">
        <v>31</v>
      </c>
      <c r="G18" s="21" t="s">
        <v>32</v>
      </c>
      <c r="H18" s="21" t="s">
        <v>31</v>
      </c>
      <c r="I18" s="21" t="s">
        <v>31</v>
      </c>
      <c r="J18" s="21" t="s">
        <v>31</v>
      </c>
      <c r="K18" s="21" t="s">
        <v>31</v>
      </c>
      <c r="L18" s="21" t="s">
        <v>31</v>
      </c>
      <c r="M18" s="21" t="s">
        <v>31</v>
      </c>
      <c r="N18" s="21" t="s">
        <v>31</v>
      </c>
      <c r="O18" s="24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.5" customHeight="1">
      <c r="A19" s="1"/>
      <c r="B19" s="1"/>
      <c r="C19" s="25"/>
      <c r="D19" s="26"/>
      <c r="E19" s="2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7"/>
      <c r="B20" s="28"/>
      <c r="C20" s="29" t="s">
        <v>33</v>
      </c>
      <c r="D20" s="30"/>
      <c r="E20" s="31"/>
      <c r="F20" s="32"/>
      <c r="G20" s="32"/>
      <c r="H20" s="32"/>
      <c r="I20" s="32"/>
      <c r="J20" s="2"/>
      <c r="K20" s="32"/>
      <c r="L20" s="32"/>
      <c r="M20" s="32"/>
      <c r="N20" s="32"/>
      <c r="O20" s="3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4.5" customHeight="1" outlineLevel="1">
      <c r="A21" s="1"/>
      <c r="B21" s="1"/>
      <c r="C21" s="25"/>
      <c r="D21" s="26"/>
      <c r="E21" s="2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 outlineLevel="1">
      <c r="A22" s="1"/>
      <c r="B22" s="1"/>
      <c r="C22" s="33" t="s">
        <v>34</v>
      </c>
      <c r="D22" s="34"/>
      <c r="E22" s="2"/>
      <c r="F22" s="35"/>
      <c r="G22" s="36"/>
      <c r="H22" s="36"/>
      <c r="I22" s="36"/>
      <c r="J22" s="2"/>
      <c r="K22" s="36"/>
      <c r="L22" s="36"/>
      <c r="M22" s="36"/>
      <c r="N22" s="36"/>
      <c r="O22" s="36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 outlineLevel="1">
      <c r="A23" s="1"/>
      <c r="B23" s="1"/>
      <c r="C23" s="37"/>
      <c r="D23" s="38"/>
      <c r="E23" s="15"/>
      <c r="F23" s="39">
        <f t="shared" ref="F23:F137" si="1">D23*E23</f>
        <v>0</v>
      </c>
      <c r="G23" s="17">
        <v>0.1</v>
      </c>
      <c r="H23" s="39">
        <f t="shared" ref="H23:H139" si="2">E23*(1+G23)</f>
        <v>0</v>
      </c>
      <c r="I23" s="39">
        <f t="shared" ref="I23:I139" si="3">D23*H23</f>
        <v>0</v>
      </c>
      <c r="J23" s="39">
        <f t="shared" ref="J23:J139" si="4">I23*$I$4</f>
        <v>0</v>
      </c>
      <c r="K23" s="39">
        <f t="shared" ref="K23:K139" si="5">I23+J23</f>
        <v>0</v>
      </c>
      <c r="L23" s="39">
        <f t="shared" ref="L23:L121" si="6">K23*$I$5</f>
        <v>0</v>
      </c>
      <c r="M23" s="39">
        <f t="shared" ref="M23:M139" si="7">K23+L23</f>
        <v>0</v>
      </c>
      <c r="N23" s="39">
        <f t="shared" ref="N23:N135" si="8">M23-L23-F23</f>
        <v>0</v>
      </c>
      <c r="O23" s="15" t="s">
        <v>34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 outlineLevel="1">
      <c r="A24" s="1"/>
      <c r="B24" s="1"/>
      <c r="C24" s="37"/>
      <c r="D24" s="38"/>
      <c r="E24" s="15"/>
      <c r="F24" s="39">
        <f t="shared" si="1"/>
        <v>0</v>
      </c>
      <c r="G24" s="40">
        <f t="shared" ref="G24:G27" si="9">G23</f>
        <v>0.1</v>
      </c>
      <c r="H24" s="39">
        <f t="shared" si="2"/>
        <v>0</v>
      </c>
      <c r="I24" s="39">
        <f t="shared" si="3"/>
        <v>0</v>
      </c>
      <c r="J24" s="39">
        <f t="shared" si="4"/>
        <v>0</v>
      </c>
      <c r="K24" s="39">
        <f t="shared" si="5"/>
        <v>0</v>
      </c>
      <c r="L24" s="39">
        <f t="shared" si="6"/>
        <v>0</v>
      </c>
      <c r="M24" s="39">
        <f t="shared" si="7"/>
        <v>0</v>
      </c>
      <c r="N24" s="39">
        <f t="shared" si="8"/>
        <v>0</v>
      </c>
      <c r="O24" s="15" t="s">
        <v>34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 outlineLevel="1">
      <c r="A25" s="1"/>
      <c r="B25" s="1"/>
      <c r="C25" s="37"/>
      <c r="D25" s="38"/>
      <c r="E25" s="15"/>
      <c r="F25" s="39">
        <f t="shared" si="1"/>
        <v>0</v>
      </c>
      <c r="G25" s="40">
        <f t="shared" si="9"/>
        <v>0.1</v>
      </c>
      <c r="H25" s="39">
        <f t="shared" si="2"/>
        <v>0</v>
      </c>
      <c r="I25" s="39">
        <f t="shared" si="3"/>
        <v>0</v>
      </c>
      <c r="J25" s="39">
        <f t="shared" si="4"/>
        <v>0</v>
      </c>
      <c r="K25" s="39">
        <f t="shared" si="5"/>
        <v>0</v>
      </c>
      <c r="L25" s="39">
        <f t="shared" si="6"/>
        <v>0</v>
      </c>
      <c r="M25" s="39">
        <f t="shared" si="7"/>
        <v>0</v>
      </c>
      <c r="N25" s="39">
        <f t="shared" si="8"/>
        <v>0</v>
      </c>
      <c r="O25" s="15" t="s">
        <v>34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 outlineLevel="1">
      <c r="A26" s="1"/>
      <c r="B26" s="1"/>
      <c r="C26" s="37"/>
      <c r="D26" s="38"/>
      <c r="E26" s="15"/>
      <c r="F26" s="39">
        <f t="shared" si="1"/>
        <v>0</v>
      </c>
      <c r="G26" s="40">
        <f t="shared" si="9"/>
        <v>0.1</v>
      </c>
      <c r="H26" s="39">
        <f t="shared" si="2"/>
        <v>0</v>
      </c>
      <c r="I26" s="39">
        <f t="shared" si="3"/>
        <v>0</v>
      </c>
      <c r="J26" s="39">
        <f t="shared" si="4"/>
        <v>0</v>
      </c>
      <c r="K26" s="39">
        <f t="shared" si="5"/>
        <v>0</v>
      </c>
      <c r="L26" s="39">
        <f t="shared" si="6"/>
        <v>0</v>
      </c>
      <c r="M26" s="39">
        <f t="shared" si="7"/>
        <v>0</v>
      </c>
      <c r="N26" s="39">
        <f t="shared" si="8"/>
        <v>0</v>
      </c>
      <c r="O26" s="15" t="s">
        <v>34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 outlineLevel="1">
      <c r="A27" s="1"/>
      <c r="B27" s="1"/>
      <c r="C27" s="37"/>
      <c r="D27" s="38"/>
      <c r="E27" s="15"/>
      <c r="F27" s="39">
        <f t="shared" si="1"/>
        <v>0</v>
      </c>
      <c r="G27" s="40">
        <f t="shared" si="9"/>
        <v>0.1</v>
      </c>
      <c r="H27" s="39">
        <f t="shared" si="2"/>
        <v>0</v>
      </c>
      <c r="I27" s="39">
        <f t="shared" si="3"/>
        <v>0</v>
      </c>
      <c r="J27" s="39">
        <f t="shared" si="4"/>
        <v>0</v>
      </c>
      <c r="K27" s="39">
        <f t="shared" si="5"/>
        <v>0</v>
      </c>
      <c r="L27" s="39">
        <f t="shared" si="6"/>
        <v>0</v>
      </c>
      <c r="M27" s="39">
        <f t="shared" si="7"/>
        <v>0</v>
      </c>
      <c r="N27" s="39">
        <f t="shared" si="8"/>
        <v>0</v>
      </c>
      <c r="O27" s="15" t="s">
        <v>34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4.5" customHeight="1" outlineLevel="1">
      <c r="A28" s="1"/>
      <c r="B28" s="1"/>
      <c r="C28" s="25"/>
      <c r="D28" s="26"/>
      <c r="E28" s="2"/>
      <c r="F28" s="39">
        <f t="shared" si="1"/>
        <v>0</v>
      </c>
      <c r="G28" s="26"/>
      <c r="H28" s="39">
        <f t="shared" si="2"/>
        <v>0</v>
      </c>
      <c r="I28" s="39">
        <f t="shared" si="3"/>
        <v>0</v>
      </c>
      <c r="J28" s="39">
        <f t="shared" si="4"/>
        <v>0</v>
      </c>
      <c r="K28" s="39">
        <f t="shared" si="5"/>
        <v>0</v>
      </c>
      <c r="L28" s="39">
        <f t="shared" si="6"/>
        <v>0</v>
      </c>
      <c r="M28" s="39">
        <f t="shared" si="7"/>
        <v>0</v>
      </c>
      <c r="N28" s="39">
        <f t="shared" si="8"/>
        <v>0</v>
      </c>
      <c r="O28" s="26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 outlineLevel="1">
      <c r="A29" s="1"/>
      <c r="B29" s="1"/>
      <c r="C29" s="33" t="s">
        <v>35</v>
      </c>
      <c r="D29" s="34"/>
      <c r="E29" s="2"/>
      <c r="F29" s="39">
        <f t="shared" si="1"/>
        <v>0</v>
      </c>
      <c r="G29" s="36"/>
      <c r="H29" s="39">
        <f t="shared" si="2"/>
        <v>0</v>
      </c>
      <c r="I29" s="39">
        <f t="shared" si="3"/>
        <v>0</v>
      </c>
      <c r="J29" s="39">
        <f t="shared" si="4"/>
        <v>0</v>
      </c>
      <c r="K29" s="39">
        <f t="shared" si="5"/>
        <v>0</v>
      </c>
      <c r="L29" s="39">
        <f t="shared" si="6"/>
        <v>0</v>
      </c>
      <c r="M29" s="39">
        <f t="shared" si="7"/>
        <v>0</v>
      </c>
      <c r="N29" s="39">
        <f t="shared" si="8"/>
        <v>0</v>
      </c>
      <c r="O29" s="36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 outlineLevel="1">
      <c r="A30" s="1"/>
      <c r="B30" s="1"/>
      <c r="C30" s="37"/>
      <c r="D30" s="38"/>
      <c r="E30" s="15"/>
      <c r="F30" s="39">
        <f t="shared" si="1"/>
        <v>0</v>
      </c>
      <c r="G30" s="17">
        <v>2.0</v>
      </c>
      <c r="H30" s="39">
        <f t="shared" si="2"/>
        <v>0</v>
      </c>
      <c r="I30" s="39">
        <f t="shared" si="3"/>
        <v>0</v>
      </c>
      <c r="J30" s="39">
        <f t="shared" si="4"/>
        <v>0</v>
      </c>
      <c r="K30" s="39">
        <f t="shared" si="5"/>
        <v>0</v>
      </c>
      <c r="L30" s="39">
        <f t="shared" si="6"/>
        <v>0</v>
      </c>
      <c r="M30" s="39">
        <f t="shared" si="7"/>
        <v>0</v>
      </c>
      <c r="N30" s="39">
        <f t="shared" si="8"/>
        <v>0</v>
      </c>
      <c r="O30" s="15" t="s">
        <v>35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 outlineLevel="1">
      <c r="A31" s="1"/>
      <c r="B31" s="1"/>
      <c r="C31" s="37"/>
      <c r="D31" s="38"/>
      <c r="E31" s="15"/>
      <c r="F31" s="39">
        <f t="shared" si="1"/>
        <v>0</v>
      </c>
      <c r="G31" s="40">
        <f t="shared" ref="G31:G34" si="10">G30</f>
        <v>2</v>
      </c>
      <c r="H31" s="39">
        <f t="shared" si="2"/>
        <v>0</v>
      </c>
      <c r="I31" s="39">
        <f t="shared" si="3"/>
        <v>0</v>
      </c>
      <c r="J31" s="39">
        <f t="shared" si="4"/>
        <v>0</v>
      </c>
      <c r="K31" s="39">
        <f t="shared" si="5"/>
        <v>0</v>
      </c>
      <c r="L31" s="39">
        <f t="shared" si="6"/>
        <v>0</v>
      </c>
      <c r="M31" s="39">
        <f t="shared" si="7"/>
        <v>0</v>
      </c>
      <c r="N31" s="39">
        <f t="shared" si="8"/>
        <v>0</v>
      </c>
      <c r="O31" s="15" t="s">
        <v>35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 outlineLevel="1">
      <c r="A32" s="1"/>
      <c r="B32" s="1"/>
      <c r="C32" s="37"/>
      <c r="D32" s="38"/>
      <c r="E32" s="15"/>
      <c r="F32" s="39">
        <f t="shared" si="1"/>
        <v>0</v>
      </c>
      <c r="G32" s="40">
        <f t="shared" si="10"/>
        <v>2</v>
      </c>
      <c r="H32" s="39">
        <f t="shared" si="2"/>
        <v>0</v>
      </c>
      <c r="I32" s="39">
        <f t="shared" si="3"/>
        <v>0</v>
      </c>
      <c r="J32" s="39">
        <f t="shared" si="4"/>
        <v>0</v>
      </c>
      <c r="K32" s="39">
        <f t="shared" si="5"/>
        <v>0</v>
      </c>
      <c r="L32" s="39">
        <f t="shared" si="6"/>
        <v>0</v>
      </c>
      <c r="M32" s="39">
        <f t="shared" si="7"/>
        <v>0</v>
      </c>
      <c r="N32" s="39">
        <f t="shared" si="8"/>
        <v>0</v>
      </c>
      <c r="O32" s="15" t="s">
        <v>35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 outlineLevel="1">
      <c r="A33" s="1"/>
      <c r="B33" s="1"/>
      <c r="C33" s="37"/>
      <c r="D33" s="38"/>
      <c r="E33" s="15"/>
      <c r="F33" s="39">
        <f t="shared" si="1"/>
        <v>0</v>
      </c>
      <c r="G33" s="40">
        <f t="shared" si="10"/>
        <v>2</v>
      </c>
      <c r="H33" s="39">
        <f t="shared" si="2"/>
        <v>0</v>
      </c>
      <c r="I33" s="39">
        <f t="shared" si="3"/>
        <v>0</v>
      </c>
      <c r="J33" s="39">
        <f t="shared" si="4"/>
        <v>0</v>
      </c>
      <c r="K33" s="39">
        <f t="shared" si="5"/>
        <v>0</v>
      </c>
      <c r="L33" s="39">
        <f t="shared" si="6"/>
        <v>0</v>
      </c>
      <c r="M33" s="39">
        <f t="shared" si="7"/>
        <v>0</v>
      </c>
      <c r="N33" s="39">
        <f t="shared" si="8"/>
        <v>0</v>
      </c>
      <c r="O33" s="15" t="s">
        <v>35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 outlineLevel="1">
      <c r="A34" s="1"/>
      <c r="B34" s="1"/>
      <c r="C34" s="41"/>
      <c r="D34" s="38"/>
      <c r="E34" s="15"/>
      <c r="F34" s="39">
        <f t="shared" si="1"/>
        <v>0</v>
      </c>
      <c r="G34" s="40">
        <f t="shared" si="10"/>
        <v>2</v>
      </c>
      <c r="H34" s="39">
        <f t="shared" si="2"/>
        <v>0</v>
      </c>
      <c r="I34" s="39">
        <f t="shared" si="3"/>
        <v>0</v>
      </c>
      <c r="J34" s="39">
        <f t="shared" si="4"/>
        <v>0</v>
      </c>
      <c r="K34" s="39">
        <f t="shared" si="5"/>
        <v>0</v>
      </c>
      <c r="L34" s="39">
        <f t="shared" si="6"/>
        <v>0</v>
      </c>
      <c r="M34" s="39">
        <f t="shared" si="7"/>
        <v>0</v>
      </c>
      <c r="N34" s="39">
        <f t="shared" si="8"/>
        <v>0</v>
      </c>
      <c r="O34" s="15" t="s">
        <v>35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4.5" customHeight="1" outlineLevel="1">
      <c r="A35" s="1"/>
      <c r="B35" s="1"/>
      <c r="C35" s="25"/>
      <c r="D35" s="39"/>
      <c r="E35" s="2"/>
      <c r="F35" s="39">
        <f t="shared" si="1"/>
        <v>0</v>
      </c>
      <c r="G35" s="42"/>
      <c r="H35" s="39">
        <f t="shared" si="2"/>
        <v>0</v>
      </c>
      <c r="I35" s="39">
        <f t="shared" si="3"/>
        <v>0</v>
      </c>
      <c r="J35" s="39">
        <f t="shared" si="4"/>
        <v>0</v>
      </c>
      <c r="K35" s="39">
        <f t="shared" si="5"/>
        <v>0</v>
      </c>
      <c r="L35" s="39">
        <f t="shared" si="6"/>
        <v>0</v>
      </c>
      <c r="M35" s="39">
        <f t="shared" si="7"/>
        <v>0</v>
      </c>
      <c r="N35" s="39">
        <f t="shared" si="8"/>
        <v>0</v>
      </c>
      <c r="O35" s="26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 outlineLevel="1">
      <c r="A36" s="1"/>
      <c r="B36" s="1"/>
      <c r="C36" s="33" t="s">
        <v>36</v>
      </c>
      <c r="D36" s="2"/>
      <c r="E36" s="2"/>
      <c r="F36" s="39">
        <f t="shared" si="1"/>
        <v>0</v>
      </c>
      <c r="G36" s="43"/>
      <c r="H36" s="39">
        <f t="shared" si="2"/>
        <v>0</v>
      </c>
      <c r="I36" s="39">
        <f t="shared" si="3"/>
        <v>0</v>
      </c>
      <c r="J36" s="39">
        <f t="shared" si="4"/>
        <v>0</v>
      </c>
      <c r="K36" s="39">
        <f t="shared" si="5"/>
        <v>0</v>
      </c>
      <c r="L36" s="39">
        <f t="shared" si="6"/>
        <v>0</v>
      </c>
      <c r="M36" s="39">
        <f t="shared" si="7"/>
        <v>0</v>
      </c>
      <c r="N36" s="39">
        <f t="shared" si="8"/>
        <v>0</v>
      </c>
      <c r="O36" s="36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 outlineLevel="1">
      <c r="A37" s="1"/>
      <c r="B37" s="1"/>
      <c r="C37" s="37"/>
      <c r="D37" s="38"/>
      <c r="E37" s="15"/>
      <c r="F37" s="39">
        <f t="shared" si="1"/>
        <v>0</v>
      </c>
      <c r="G37" s="17">
        <v>0.1</v>
      </c>
      <c r="H37" s="39">
        <f t="shared" si="2"/>
        <v>0</v>
      </c>
      <c r="I37" s="39">
        <f t="shared" si="3"/>
        <v>0</v>
      </c>
      <c r="J37" s="39">
        <f t="shared" si="4"/>
        <v>0</v>
      </c>
      <c r="K37" s="39">
        <f t="shared" si="5"/>
        <v>0</v>
      </c>
      <c r="L37" s="39">
        <f t="shared" si="6"/>
        <v>0</v>
      </c>
      <c r="M37" s="39">
        <f t="shared" si="7"/>
        <v>0</v>
      </c>
      <c r="N37" s="39">
        <f t="shared" si="8"/>
        <v>0</v>
      </c>
      <c r="O37" s="15" t="s">
        <v>36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 outlineLevel="1">
      <c r="A38" s="1"/>
      <c r="B38" s="1"/>
      <c r="C38" s="37"/>
      <c r="D38" s="38"/>
      <c r="E38" s="15"/>
      <c r="F38" s="39">
        <f t="shared" si="1"/>
        <v>0</v>
      </c>
      <c r="G38" s="40">
        <f t="shared" ref="G38:G39" si="11">G37</f>
        <v>0.1</v>
      </c>
      <c r="H38" s="39">
        <f t="shared" si="2"/>
        <v>0</v>
      </c>
      <c r="I38" s="39">
        <f t="shared" si="3"/>
        <v>0</v>
      </c>
      <c r="J38" s="39">
        <f t="shared" si="4"/>
        <v>0</v>
      </c>
      <c r="K38" s="39">
        <f t="shared" si="5"/>
        <v>0</v>
      </c>
      <c r="L38" s="39">
        <f t="shared" si="6"/>
        <v>0</v>
      </c>
      <c r="M38" s="39">
        <f t="shared" si="7"/>
        <v>0</v>
      </c>
      <c r="N38" s="39">
        <f t="shared" si="8"/>
        <v>0</v>
      </c>
      <c r="O38" s="15" t="s">
        <v>36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 outlineLevel="1">
      <c r="A39" s="44"/>
      <c r="B39" s="44"/>
      <c r="C39" s="45"/>
      <c r="D39" s="46"/>
      <c r="E39" s="47"/>
      <c r="F39" s="39">
        <f t="shared" si="1"/>
        <v>0</v>
      </c>
      <c r="G39" s="48">
        <f t="shared" si="11"/>
        <v>0.1</v>
      </c>
      <c r="H39" s="39">
        <f t="shared" si="2"/>
        <v>0</v>
      </c>
      <c r="I39" s="39">
        <f t="shared" si="3"/>
        <v>0</v>
      </c>
      <c r="J39" s="39">
        <f t="shared" si="4"/>
        <v>0</v>
      </c>
      <c r="K39" s="39">
        <f t="shared" si="5"/>
        <v>0</v>
      </c>
      <c r="L39" s="39">
        <f t="shared" si="6"/>
        <v>0</v>
      </c>
      <c r="M39" s="39">
        <f t="shared" si="7"/>
        <v>0</v>
      </c>
      <c r="N39" s="39">
        <f t="shared" si="8"/>
        <v>0</v>
      </c>
      <c r="O39" s="47" t="s">
        <v>36</v>
      </c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4.25" customHeight="1" outlineLevel="1">
      <c r="A40" s="44"/>
      <c r="B40" s="44"/>
      <c r="C40" s="45"/>
      <c r="D40" s="46"/>
      <c r="E40" s="47"/>
      <c r="F40" s="39">
        <f t="shared" si="1"/>
        <v>0</v>
      </c>
      <c r="G40" s="48">
        <f>G38</f>
        <v>0.1</v>
      </c>
      <c r="H40" s="39">
        <f t="shared" si="2"/>
        <v>0</v>
      </c>
      <c r="I40" s="39">
        <f t="shared" si="3"/>
        <v>0</v>
      </c>
      <c r="J40" s="39">
        <f t="shared" si="4"/>
        <v>0</v>
      </c>
      <c r="K40" s="39">
        <f t="shared" si="5"/>
        <v>0</v>
      </c>
      <c r="L40" s="39">
        <f t="shared" si="6"/>
        <v>0</v>
      </c>
      <c r="M40" s="39">
        <f t="shared" si="7"/>
        <v>0</v>
      </c>
      <c r="N40" s="39">
        <f t="shared" si="8"/>
        <v>0</v>
      </c>
      <c r="O40" s="47" t="s">
        <v>36</v>
      </c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4.25" customHeight="1" outlineLevel="1">
      <c r="A41" s="44"/>
      <c r="B41" s="44"/>
      <c r="C41" s="45"/>
      <c r="D41" s="46"/>
      <c r="E41" s="47"/>
      <c r="F41" s="39">
        <f t="shared" si="1"/>
        <v>0</v>
      </c>
      <c r="G41" s="48">
        <f t="shared" ref="G41:G45" si="12">G40</f>
        <v>0.1</v>
      </c>
      <c r="H41" s="39">
        <f t="shared" si="2"/>
        <v>0</v>
      </c>
      <c r="I41" s="39">
        <f t="shared" si="3"/>
        <v>0</v>
      </c>
      <c r="J41" s="39">
        <f t="shared" si="4"/>
        <v>0</v>
      </c>
      <c r="K41" s="39">
        <f t="shared" si="5"/>
        <v>0</v>
      </c>
      <c r="L41" s="39">
        <f t="shared" si="6"/>
        <v>0</v>
      </c>
      <c r="M41" s="39">
        <f t="shared" si="7"/>
        <v>0</v>
      </c>
      <c r="N41" s="39">
        <f t="shared" si="8"/>
        <v>0</v>
      </c>
      <c r="O41" s="47" t="s">
        <v>36</v>
      </c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4.25" customHeight="1" outlineLevel="1">
      <c r="A42" s="44"/>
      <c r="B42" s="44"/>
      <c r="C42" s="50"/>
      <c r="D42" s="51"/>
      <c r="E42" s="47"/>
      <c r="F42" s="39">
        <f t="shared" si="1"/>
        <v>0</v>
      </c>
      <c r="G42" s="48">
        <f t="shared" si="12"/>
        <v>0.1</v>
      </c>
      <c r="H42" s="39">
        <f t="shared" si="2"/>
        <v>0</v>
      </c>
      <c r="I42" s="39">
        <f t="shared" si="3"/>
        <v>0</v>
      </c>
      <c r="J42" s="39">
        <f t="shared" si="4"/>
        <v>0</v>
      </c>
      <c r="K42" s="39">
        <f t="shared" si="5"/>
        <v>0</v>
      </c>
      <c r="L42" s="39">
        <f t="shared" si="6"/>
        <v>0</v>
      </c>
      <c r="M42" s="39">
        <f t="shared" si="7"/>
        <v>0</v>
      </c>
      <c r="N42" s="39">
        <f t="shared" si="8"/>
        <v>0</v>
      </c>
      <c r="O42" s="47" t="s">
        <v>36</v>
      </c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4.25" customHeight="1" outlineLevel="1">
      <c r="A43" s="44"/>
      <c r="B43" s="44"/>
      <c r="C43" s="45"/>
      <c r="D43" s="46"/>
      <c r="E43" s="47"/>
      <c r="F43" s="39">
        <f t="shared" si="1"/>
        <v>0</v>
      </c>
      <c r="G43" s="48">
        <f t="shared" si="12"/>
        <v>0.1</v>
      </c>
      <c r="H43" s="39">
        <f t="shared" si="2"/>
        <v>0</v>
      </c>
      <c r="I43" s="39">
        <f t="shared" si="3"/>
        <v>0</v>
      </c>
      <c r="J43" s="39">
        <f t="shared" si="4"/>
        <v>0</v>
      </c>
      <c r="K43" s="39">
        <f t="shared" si="5"/>
        <v>0</v>
      </c>
      <c r="L43" s="39">
        <f t="shared" si="6"/>
        <v>0</v>
      </c>
      <c r="M43" s="39">
        <f t="shared" si="7"/>
        <v>0</v>
      </c>
      <c r="N43" s="39">
        <f t="shared" si="8"/>
        <v>0</v>
      </c>
      <c r="O43" s="47" t="s">
        <v>36</v>
      </c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4.25" customHeight="1" outlineLevel="1">
      <c r="A44" s="44"/>
      <c r="B44" s="44"/>
      <c r="C44" s="45"/>
      <c r="D44" s="46"/>
      <c r="E44" s="47"/>
      <c r="F44" s="39">
        <f t="shared" si="1"/>
        <v>0</v>
      </c>
      <c r="G44" s="48">
        <f t="shared" si="12"/>
        <v>0.1</v>
      </c>
      <c r="H44" s="39">
        <f t="shared" si="2"/>
        <v>0</v>
      </c>
      <c r="I44" s="39">
        <f t="shared" si="3"/>
        <v>0</v>
      </c>
      <c r="J44" s="39">
        <f t="shared" si="4"/>
        <v>0</v>
      </c>
      <c r="K44" s="39">
        <f t="shared" si="5"/>
        <v>0</v>
      </c>
      <c r="L44" s="39">
        <f t="shared" si="6"/>
        <v>0</v>
      </c>
      <c r="M44" s="39">
        <f t="shared" si="7"/>
        <v>0</v>
      </c>
      <c r="N44" s="39">
        <f t="shared" si="8"/>
        <v>0</v>
      </c>
      <c r="O44" s="47" t="s">
        <v>36</v>
      </c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4.25" customHeight="1" outlineLevel="1">
      <c r="A45" s="44"/>
      <c r="B45" s="44"/>
      <c r="C45" s="45"/>
      <c r="D45" s="46"/>
      <c r="E45" s="47"/>
      <c r="F45" s="39">
        <f t="shared" si="1"/>
        <v>0</v>
      </c>
      <c r="G45" s="48">
        <f t="shared" si="12"/>
        <v>0.1</v>
      </c>
      <c r="H45" s="39">
        <f t="shared" si="2"/>
        <v>0</v>
      </c>
      <c r="I45" s="39">
        <f t="shared" si="3"/>
        <v>0</v>
      </c>
      <c r="J45" s="39">
        <f t="shared" si="4"/>
        <v>0</v>
      </c>
      <c r="K45" s="39">
        <f t="shared" si="5"/>
        <v>0</v>
      </c>
      <c r="L45" s="39">
        <f t="shared" si="6"/>
        <v>0</v>
      </c>
      <c r="M45" s="39">
        <f t="shared" si="7"/>
        <v>0</v>
      </c>
      <c r="N45" s="39">
        <f t="shared" si="8"/>
        <v>0</v>
      </c>
      <c r="O45" s="47" t="s">
        <v>36</v>
      </c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4.25" customHeight="1" outlineLevel="1">
      <c r="A46" s="44"/>
      <c r="B46" s="44"/>
      <c r="C46" s="45"/>
      <c r="D46" s="46"/>
      <c r="E46" s="47"/>
      <c r="F46" s="39">
        <f t="shared" si="1"/>
        <v>0</v>
      </c>
      <c r="G46" s="52">
        <v>0.2</v>
      </c>
      <c r="H46" s="39">
        <f t="shared" si="2"/>
        <v>0</v>
      </c>
      <c r="I46" s="39">
        <f t="shared" si="3"/>
        <v>0</v>
      </c>
      <c r="J46" s="39">
        <f t="shared" si="4"/>
        <v>0</v>
      </c>
      <c r="K46" s="39">
        <f t="shared" si="5"/>
        <v>0</v>
      </c>
      <c r="L46" s="39">
        <f t="shared" si="6"/>
        <v>0</v>
      </c>
      <c r="M46" s="39">
        <f t="shared" si="7"/>
        <v>0</v>
      </c>
      <c r="N46" s="39">
        <f t="shared" si="8"/>
        <v>0</v>
      </c>
      <c r="O46" s="47" t="s">
        <v>36</v>
      </c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4.25" customHeight="1">
      <c r="A47" s="1"/>
      <c r="B47" s="1"/>
      <c r="C47" s="25"/>
      <c r="D47" s="26"/>
      <c r="E47" s="2"/>
      <c r="F47" s="39">
        <f t="shared" si="1"/>
        <v>0</v>
      </c>
      <c r="G47" s="43"/>
      <c r="H47" s="39">
        <f t="shared" si="2"/>
        <v>0</v>
      </c>
      <c r="I47" s="39">
        <f t="shared" si="3"/>
        <v>0</v>
      </c>
      <c r="J47" s="39">
        <f t="shared" si="4"/>
        <v>0</v>
      </c>
      <c r="K47" s="39">
        <f t="shared" si="5"/>
        <v>0</v>
      </c>
      <c r="L47" s="39">
        <f t="shared" si="6"/>
        <v>0</v>
      </c>
      <c r="M47" s="39">
        <f t="shared" si="7"/>
        <v>0</v>
      </c>
      <c r="N47" s="39">
        <f t="shared" si="8"/>
        <v>0</v>
      </c>
      <c r="O47" s="36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7"/>
      <c r="B48" s="28"/>
      <c r="C48" s="29" t="s">
        <v>37</v>
      </c>
      <c r="D48" s="30"/>
      <c r="E48" s="31"/>
      <c r="F48" s="39">
        <f t="shared" si="1"/>
        <v>0</v>
      </c>
      <c r="G48" s="53"/>
      <c r="H48" s="39">
        <f t="shared" si="2"/>
        <v>0</v>
      </c>
      <c r="I48" s="39">
        <f t="shared" si="3"/>
        <v>0</v>
      </c>
      <c r="J48" s="39">
        <f t="shared" si="4"/>
        <v>0</v>
      </c>
      <c r="K48" s="39">
        <f t="shared" si="5"/>
        <v>0</v>
      </c>
      <c r="L48" s="39">
        <f t="shared" si="6"/>
        <v>0</v>
      </c>
      <c r="M48" s="39">
        <f t="shared" si="7"/>
        <v>0</v>
      </c>
      <c r="N48" s="39">
        <f t="shared" si="8"/>
        <v>0</v>
      </c>
      <c r="O48" s="3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4.5" customHeight="1" outlineLevel="1">
      <c r="A49" s="1"/>
      <c r="B49" s="1"/>
      <c r="C49" s="25"/>
      <c r="D49" s="26"/>
      <c r="E49" s="2"/>
      <c r="F49" s="39">
        <f t="shared" si="1"/>
        <v>0</v>
      </c>
      <c r="G49" s="26"/>
      <c r="H49" s="39">
        <f t="shared" si="2"/>
        <v>0</v>
      </c>
      <c r="I49" s="39">
        <f t="shared" si="3"/>
        <v>0</v>
      </c>
      <c r="J49" s="39">
        <f t="shared" si="4"/>
        <v>0</v>
      </c>
      <c r="K49" s="39">
        <f t="shared" si="5"/>
        <v>0</v>
      </c>
      <c r="L49" s="39">
        <f t="shared" si="6"/>
        <v>0</v>
      </c>
      <c r="M49" s="39">
        <f t="shared" si="7"/>
        <v>0</v>
      </c>
      <c r="N49" s="39">
        <f t="shared" si="8"/>
        <v>0</v>
      </c>
      <c r="O49" s="26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 outlineLevel="1">
      <c r="A50" s="1"/>
      <c r="B50" s="1"/>
      <c r="C50" s="33" t="s">
        <v>34</v>
      </c>
      <c r="D50" s="34"/>
      <c r="E50" s="2"/>
      <c r="F50" s="39">
        <f t="shared" si="1"/>
        <v>0</v>
      </c>
      <c r="G50" s="36"/>
      <c r="H50" s="39">
        <f t="shared" si="2"/>
        <v>0</v>
      </c>
      <c r="I50" s="39">
        <f t="shared" si="3"/>
        <v>0</v>
      </c>
      <c r="J50" s="39">
        <f t="shared" si="4"/>
        <v>0</v>
      </c>
      <c r="K50" s="39">
        <f t="shared" si="5"/>
        <v>0</v>
      </c>
      <c r="L50" s="39">
        <f t="shared" si="6"/>
        <v>0</v>
      </c>
      <c r="M50" s="39">
        <f t="shared" si="7"/>
        <v>0</v>
      </c>
      <c r="N50" s="39">
        <f t="shared" si="8"/>
        <v>0</v>
      </c>
      <c r="O50" s="36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 outlineLevel="1">
      <c r="A51" s="44"/>
      <c r="B51" s="44"/>
      <c r="C51" s="45"/>
      <c r="D51" s="46"/>
      <c r="E51" s="47"/>
      <c r="F51" s="39">
        <f t="shared" si="1"/>
        <v>0</v>
      </c>
      <c r="G51" s="54">
        <v>0.1</v>
      </c>
      <c r="H51" s="39">
        <f t="shared" si="2"/>
        <v>0</v>
      </c>
      <c r="I51" s="39">
        <f t="shared" si="3"/>
        <v>0</v>
      </c>
      <c r="J51" s="39">
        <f t="shared" si="4"/>
        <v>0</v>
      </c>
      <c r="K51" s="39">
        <f t="shared" si="5"/>
        <v>0</v>
      </c>
      <c r="L51" s="39">
        <f t="shared" si="6"/>
        <v>0</v>
      </c>
      <c r="M51" s="39">
        <f t="shared" si="7"/>
        <v>0</v>
      </c>
      <c r="N51" s="39">
        <f t="shared" si="8"/>
        <v>0</v>
      </c>
      <c r="O51" s="47" t="s">
        <v>34</v>
      </c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4.25" customHeight="1" outlineLevel="1">
      <c r="A52" s="44"/>
      <c r="B52" s="44"/>
      <c r="C52" s="45"/>
      <c r="D52" s="46"/>
      <c r="E52" s="47"/>
      <c r="F52" s="39">
        <f t="shared" si="1"/>
        <v>0</v>
      </c>
      <c r="G52" s="48">
        <f t="shared" ref="G52:G63" si="13">G51</f>
        <v>0.1</v>
      </c>
      <c r="H52" s="39">
        <f t="shared" si="2"/>
        <v>0</v>
      </c>
      <c r="I52" s="39">
        <f t="shared" si="3"/>
        <v>0</v>
      </c>
      <c r="J52" s="39">
        <f t="shared" si="4"/>
        <v>0</v>
      </c>
      <c r="K52" s="39">
        <f t="shared" si="5"/>
        <v>0</v>
      </c>
      <c r="L52" s="39">
        <f t="shared" si="6"/>
        <v>0</v>
      </c>
      <c r="M52" s="39">
        <f t="shared" si="7"/>
        <v>0</v>
      </c>
      <c r="N52" s="39">
        <f t="shared" si="8"/>
        <v>0</v>
      </c>
      <c r="O52" s="47" t="s">
        <v>34</v>
      </c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4.25" customHeight="1" outlineLevel="1">
      <c r="A53" s="44"/>
      <c r="B53" s="44"/>
      <c r="C53" s="55"/>
      <c r="D53" s="46"/>
      <c r="E53" s="47"/>
      <c r="F53" s="39">
        <f t="shared" si="1"/>
        <v>0</v>
      </c>
      <c r="G53" s="48">
        <f t="shared" si="13"/>
        <v>0.1</v>
      </c>
      <c r="H53" s="39">
        <f t="shared" si="2"/>
        <v>0</v>
      </c>
      <c r="I53" s="39">
        <f t="shared" si="3"/>
        <v>0</v>
      </c>
      <c r="J53" s="39">
        <f t="shared" si="4"/>
        <v>0</v>
      </c>
      <c r="K53" s="39">
        <f t="shared" si="5"/>
        <v>0</v>
      </c>
      <c r="L53" s="39">
        <f t="shared" si="6"/>
        <v>0</v>
      </c>
      <c r="M53" s="39">
        <f t="shared" si="7"/>
        <v>0</v>
      </c>
      <c r="N53" s="39">
        <f t="shared" si="8"/>
        <v>0</v>
      </c>
      <c r="O53" s="47" t="s">
        <v>34</v>
      </c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4.25" customHeight="1" outlineLevel="1">
      <c r="A54" s="44"/>
      <c r="B54" s="44"/>
      <c r="C54" s="45"/>
      <c r="D54" s="46"/>
      <c r="E54" s="47"/>
      <c r="F54" s="39">
        <f t="shared" si="1"/>
        <v>0</v>
      </c>
      <c r="G54" s="48">
        <f t="shared" si="13"/>
        <v>0.1</v>
      </c>
      <c r="H54" s="39">
        <f t="shared" si="2"/>
        <v>0</v>
      </c>
      <c r="I54" s="39">
        <f t="shared" si="3"/>
        <v>0</v>
      </c>
      <c r="J54" s="39">
        <f t="shared" si="4"/>
        <v>0</v>
      </c>
      <c r="K54" s="39">
        <f t="shared" si="5"/>
        <v>0</v>
      </c>
      <c r="L54" s="39">
        <f t="shared" si="6"/>
        <v>0</v>
      </c>
      <c r="M54" s="39">
        <f t="shared" si="7"/>
        <v>0</v>
      </c>
      <c r="N54" s="39">
        <f t="shared" si="8"/>
        <v>0</v>
      </c>
      <c r="O54" s="47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4.25" customHeight="1" outlineLevel="1">
      <c r="A55" s="44"/>
      <c r="B55" s="44"/>
      <c r="C55" s="50"/>
      <c r="D55" s="46"/>
      <c r="E55" s="47"/>
      <c r="F55" s="39">
        <f t="shared" si="1"/>
        <v>0</v>
      </c>
      <c r="G55" s="48">
        <f t="shared" si="13"/>
        <v>0.1</v>
      </c>
      <c r="H55" s="39">
        <f t="shared" si="2"/>
        <v>0</v>
      </c>
      <c r="I55" s="39">
        <f t="shared" si="3"/>
        <v>0</v>
      </c>
      <c r="J55" s="39">
        <f t="shared" si="4"/>
        <v>0</v>
      </c>
      <c r="K55" s="39">
        <f t="shared" si="5"/>
        <v>0</v>
      </c>
      <c r="L55" s="39">
        <f t="shared" si="6"/>
        <v>0</v>
      </c>
      <c r="M55" s="39">
        <f t="shared" si="7"/>
        <v>0</v>
      </c>
      <c r="N55" s="39">
        <f t="shared" si="8"/>
        <v>0</v>
      </c>
      <c r="O55" s="47" t="s">
        <v>34</v>
      </c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4.25" customHeight="1" outlineLevel="1">
      <c r="A56" s="44"/>
      <c r="B56" s="44"/>
      <c r="C56" s="55"/>
      <c r="D56" s="46"/>
      <c r="E56" s="56"/>
      <c r="F56" s="39">
        <f t="shared" si="1"/>
        <v>0</v>
      </c>
      <c r="G56" s="48">
        <f t="shared" si="13"/>
        <v>0.1</v>
      </c>
      <c r="H56" s="39">
        <f t="shared" si="2"/>
        <v>0</v>
      </c>
      <c r="I56" s="39">
        <f t="shared" si="3"/>
        <v>0</v>
      </c>
      <c r="J56" s="39">
        <f t="shared" si="4"/>
        <v>0</v>
      </c>
      <c r="K56" s="39">
        <f t="shared" si="5"/>
        <v>0</v>
      </c>
      <c r="L56" s="39">
        <f t="shared" si="6"/>
        <v>0</v>
      </c>
      <c r="M56" s="39">
        <f t="shared" si="7"/>
        <v>0</v>
      </c>
      <c r="N56" s="39">
        <f t="shared" si="8"/>
        <v>0</v>
      </c>
      <c r="O56" s="47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4.25" customHeight="1" outlineLevel="1">
      <c r="A57" s="44"/>
      <c r="B57" s="44"/>
      <c r="C57" s="45"/>
      <c r="D57" s="46"/>
      <c r="E57" s="47"/>
      <c r="F57" s="39">
        <f t="shared" si="1"/>
        <v>0</v>
      </c>
      <c r="G57" s="48">
        <f t="shared" si="13"/>
        <v>0.1</v>
      </c>
      <c r="H57" s="39">
        <f t="shared" si="2"/>
        <v>0</v>
      </c>
      <c r="I57" s="39">
        <f t="shared" si="3"/>
        <v>0</v>
      </c>
      <c r="J57" s="39">
        <f t="shared" si="4"/>
        <v>0</v>
      </c>
      <c r="K57" s="39">
        <f t="shared" si="5"/>
        <v>0</v>
      </c>
      <c r="L57" s="39">
        <f t="shared" si="6"/>
        <v>0</v>
      </c>
      <c r="M57" s="39">
        <f t="shared" si="7"/>
        <v>0</v>
      </c>
      <c r="N57" s="39">
        <f t="shared" si="8"/>
        <v>0</v>
      </c>
      <c r="O57" s="47" t="s">
        <v>34</v>
      </c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4.25" customHeight="1" outlineLevel="1">
      <c r="A58" s="44"/>
      <c r="B58" s="44"/>
      <c r="C58" s="45"/>
      <c r="D58" s="46"/>
      <c r="E58" s="47"/>
      <c r="F58" s="39">
        <f t="shared" si="1"/>
        <v>0</v>
      </c>
      <c r="G58" s="48">
        <f t="shared" si="13"/>
        <v>0.1</v>
      </c>
      <c r="H58" s="39">
        <f t="shared" si="2"/>
        <v>0</v>
      </c>
      <c r="I58" s="39">
        <f t="shared" si="3"/>
        <v>0</v>
      </c>
      <c r="J58" s="39">
        <f t="shared" si="4"/>
        <v>0</v>
      </c>
      <c r="K58" s="39">
        <f t="shared" si="5"/>
        <v>0</v>
      </c>
      <c r="L58" s="39">
        <f t="shared" si="6"/>
        <v>0</v>
      </c>
      <c r="M58" s="39">
        <f t="shared" si="7"/>
        <v>0</v>
      </c>
      <c r="N58" s="39">
        <f t="shared" si="8"/>
        <v>0</v>
      </c>
      <c r="O58" s="47" t="s">
        <v>34</v>
      </c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4.25" customHeight="1" outlineLevel="1">
      <c r="A59" s="44"/>
      <c r="B59" s="44"/>
      <c r="C59" s="57"/>
      <c r="D59" s="58"/>
      <c r="E59" s="59"/>
      <c r="F59" s="39">
        <f t="shared" si="1"/>
        <v>0</v>
      </c>
      <c r="G59" s="48">
        <f t="shared" si="13"/>
        <v>0.1</v>
      </c>
      <c r="H59" s="39">
        <f t="shared" si="2"/>
        <v>0</v>
      </c>
      <c r="I59" s="39">
        <f t="shared" si="3"/>
        <v>0</v>
      </c>
      <c r="J59" s="39">
        <f t="shared" si="4"/>
        <v>0</v>
      </c>
      <c r="K59" s="39">
        <f t="shared" si="5"/>
        <v>0</v>
      </c>
      <c r="L59" s="39">
        <f t="shared" si="6"/>
        <v>0</v>
      </c>
      <c r="M59" s="39">
        <f t="shared" si="7"/>
        <v>0</v>
      </c>
      <c r="N59" s="39">
        <f t="shared" si="8"/>
        <v>0</v>
      </c>
      <c r="O59" s="47" t="s">
        <v>34</v>
      </c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4.25" customHeight="1" outlineLevel="1">
      <c r="A60" s="44"/>
      <c r="B60" s="44"/>
      <c r="C60" s="60"/>
      <c r="D60" s="61"/>
      <c r="E60" s="62"/>
      <c r="F60" s="39">
        <f t="shared" si="1"/>
        <v>0</v>
      </c>
      <c r="G60" s="48">
        <f t="shared" si="13"/>
        <v>0.1</v>
      </c>
      <c r="H60" s="39">
        <f t="shared" si="2"/>
        <v>0</v>
      </c>
      <c r="I60" s="39">
        <f t="shared" si="3"/>
        <v>0</v>
      </c>
      <c r="J60" s="39">
        <f t="shared" si="4"/>
        <v>0</v>
      </c>
      <c r="K60" s="39">
        <f t="shared" si="5"/>
        <v>0</v>
      </c>
      <c r="L60" s="39">
        <f t="shared" si="6"/>
        <v>0</v>
      </c>
      <c r="M60" s="39">
        <f t="shared" si="7"/>
        <v>0</v>
      </c>
      <c r="N60" s="39">
        <f t="shared" si="8"/>
        <v>0</v>
      </c>
      <c r="O60" s="47" t="s">
        <v>34</v>
      </c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4.25" customHeight="1" outlineLevel="1">
      <c r="A61" s="44"/>
      <c r="B61" s="44"/>
      <c r="C61" s="37"/>
      <c r="D61" s="38"/>
      <c r="E61" s="15"/>
      <c r="F61" s="39">
        <f t="shared" si="1"/>
        <v>0</v>
      </c>
      <c r="G61" s="48">
        <f t="shared" si="13"/>
        <v>0.1</v>
      </c>
      <c r="H61" s="39">
        <f t="shared" si="2"/>
        <v>0</v>
      </c>
      <c r="I61" s="39">
        <f t="shared" si="3"/>
        <v>0</v>
      </c>
      <c r="J61" s="39">
        <f t="shared" si="4"/>
        <v>0</v>
      </c>
      <c r="K61" s="39">
        <f t="shared" si="5"/>
        <v>0</v>
      </c>
      <c r="L61" s="39">
        <f t="shared" si="6"/>
        <v>0</v>
      </c>
      <c r="M61" s="39">
        <f t="shared" si="7"/>
        <v>0</v>
      </c>
      <c r="N61" s="39">
        <f t="shared" si="8"/>
        <v>0</v>
      </c>
      <c r="O61" s="47" t="s">
        <v>34</v>
      </c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4.25" customHeight="1" outlineLevel="1">
      <c r="A62" s="44"/>
      <c r="B62" s="44"/>
      <c r="C62" s="57"/>
      <c r="D62" s="58"/>
      <c r="E62" s="59"/>
      <c r="F62" s="39">
        <f t="shared" si="1"/>
        <v>0</v>
      </c>
      <c r="G62" s="48">
        <f t="shared" si="13"/>
        <v>0.1</v>
      </c>
      <c r="H62" s="39">
        <f t="shared" si="2"/>
        <v>0</v>
      </c>
      <c r="I62" s="39">
        <f t="shared" si="3"/>
        <v>0</v>
      </c>
      <c r="J62" s="39">
        <f t="shared" si="4"/>
        <v>0</v>
      </c>
      <c r="K62" s="39">
        <f t="shared" si="5"/>
        <v>0</v>
      </c>
      <c r="L62" s="39">
        <f t="shared" si="6"/>
        <v>0</v>
      </c>
      <c r="M62" s="39">
        <f t="shared" si="7"/>
        <v>0</v>
      </c>
      <c r="N62" s="39">
        <f t="shared" si="8"/>
        <v>0</v>
      </c>
      <c r="O62" s="47" t="s">
        <v>34</v>
      </c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4.25" customHeight="1" outlineLevel="1">
      <c r="A63" s="44"/>
      <c r="B63" s="44"/>
      <c r="C63" s="45"/>
      <c r="D63" s="46"/>
      <c r="E63" s="47"/>
      <c r="F63" s="39">
        <f t="shared" si="1"/>
        <v>0</v>
      </c>
      <c r="G63" s="48">
        <f t="shared" si="13"/>
        <v>0.1</v>
      </c>
      <c r="H63" s="39">
        <f t="shared" si="2"/>
        <v>0</v>
      </c>
      <c r="I63" s="39">
        <f t="shared" si="3"/>
        <v>0</v>
      </c>
      <c r="J63" s="39">
        <f t="shared" si="4"/>
        <v>0</v>
      </c>
      <c r="K63" s="39">
        <f t="shared" si="5"/>
        <v>0</v>
      </c>
      <c r="L63" s="39">
        <f t="shared" si="6"/>
        <v>0</v>
      </c>
      <c r="M63" s="39">
        <f t="shared" si="7"/>
        <v>0</v>
      </c>
      <c r="N63" s="39">
        <f t="shared" si="8"/>
        <v>0</v>
      </c>
      <c r="O63" s="47" t="s">
        <v>34</v>
      </c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7.25" customHeight="1" outlineLevel="1">
      <c r="A64" s="1">
        <f>SUM(A51:A63)</f>
        <v>0</v>
      </c>
      <c r="B64" s="1"/>
      <c r="C64" s="25"/>
      <c r="D64" s="26"/>
      <c r="E64" s="2"/>
      <c r="F64" s="39">
        <f t="shared" si="1"/>
        <v>0</v>
      </c>
      <c r="G64" s="42"/>
      <c r="H64" s="39">
        <f t="shared" si="2"/>
        <v>0</v>
      </c>
      <c r="I64" s="39">
        <f t="shared" si="3"/>
        <v>0</v>
      </c>
      <c r="J64" s="39">
        <f t="shared" si="4"/>
        <v>0</v>
      </c>
      <c r="K64" s="39">
        <f t="shared" si="5"/>
        <v>0</v>
      </c>
      <c r="L64" s="39">
        <f t="shared" si="6"/>
        <v>0</v>
      </c>
      <c r="M64" s="39">
        <f t="shared" si="7"/>
        <v>0</v>
      </c>
      <c r="N64" s="39">
        <f t="shared" si="8"/>
        <v>0</v>
      </c>
      <c r="O64" s="26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 outlineLevel="1">
      <c r="A65" s="1"/>
      <c r="B65" s="1"/>
      <c r="C65" s="33" t="s">
        <v>35</v>
      </c>
      <c r="D65" s="34"/>
      <c r="E65" s="2"/>
      <c r="F65" s="39">
        <f t="shared" si="1"/>
        <v>0</v>
      </c>
      <c r="G65" s="63"/>
      <c r="H65" s="39">
        <f t="shared" si="2"/>
        <v>0</v>
      </c>
      <c r="I65" s="39">
        <f t="shared" si="3"/>
        <v>0</v>
      </c>
      <c r="J65" s="39">
        <f t="shared" si="4"/>
        <v>0</v>
      </c>
      <c r="K65" s="39">
        <f t="shared" si="5"/>
        <v>0</v>
      </c>
      <c r="L65" s="39">
        <f t="shared" si="6"/>
        <v>0</v>
      </c>
      <c r="M65" s="39">
        <f t="shared" si="7"/>
        <v>0</v>
      </c>
      <c r="N65" s="39">
        <f t="shared" si="8"/>
        <v>0</v>
      </c>
      <c r="O65" s="36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 outlineLevel="1">
      <c r="A66" s="1"/>
      <c r="B66" s="1"/>
      <c r="C66" s="37"/>
      <c r="D66" s="38"/>
      <c r="E66" s="15"/>
      <c r="F66" s="39">
        <f t="shared" si="1"/>
        <v>0</v>
      </c>
      <c r="G66" s="14">
        <v>2.0</v>
      </c>
      <c r="H66" s="39">
        <f t="shared" si="2"/>
        <v>0</v>
      </c>
      <c r="I66" s="39">
        <f t="shared" si="3"/>
        <v>0</v>
      </c>
      <c r="J66" s="39">
        <f t="shared" si="4"/>
        <v>0</v>
      </c>
      <c r="K66" s="39">
        <f t="shared" si="5"/>
        <v>0</v>
      </c>
      <c r="L66" s="39">
        <f t="shared" si="6"/>
        <v>0</v>
      </c>
      <c r="M66" s="39">
        <f t="shared" si="7"/>
        <v>0</v>
      </c>
      <c r="N66" s="39">
        <f t="shared" si="8"/>
        <v>0</v>
      </c>
      <c r="O66" s="15" t="s">
        <v>35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 outlineLevel="1">
      <c r="A67" s="1"/>
      <c r="B67" s="1"/>
      <c r="C67" s="37"/>
      <c r="D67" s="38"/>
      <c r="E67" s="15"/>
      <c r="F67" s="39">
        <f t="shared" si="1"/>
        <v>0</v>
      </c>
      <c r="G67" s="40">
        <f t="shared" ref="G67:G71" si="14">G66</f>
        <v>2</v>
      </c>
      <c r="H67" s="39">
        <f t="shared" si="2"/>
        <v>0</v>
      </c>
      <c r="I67" s="39">
        <f t="shared" si="3"/>
        <v>0</v>
      </c>
      <c r="J67" s="39">
        <f t="shared" si="4"/>
        <v>0</v>
      </c>
      <c r="K67" s="39">
        <f t="shared" si="5"/>
        <v>0</v>
      </c>
      <c r="L67" s="39">
        <f t="shared" si="6"/>
        <v>0</v>
      </c>
      <c r="M67" s="39">
        <f t="shared" si="7"/>
        <v>0</v>
      </c>
      <c r="N67" s="39">
        <f t="shared" si="8"/>
        <v>0</v>
      </c>
      <c r="O67" s="15" t="s">
        <v>35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 outlineLevel="1">
      <c r="A68" s="1"/>
      <c r="B68" s="1"/>
      <c r="C68" s="37"/>
      <c r="D68" s="38"/>
      <c r="E68" s="15"/>
      <c r="F68" s="39">
        <f t="shared" si="1"/>
        <v>0</v>
      </c>
      <c r="G68" s="40">
        <f t="shared" si="14"/>
        <v>2</v>
      </c>
      <c r="H68" s="39">
        <f t="shared" si="2"/>
        <v>0</v>
      </c>
      <c r="I68" s="39">
        <f t="shared" si="3"/>
        <v>0</v>
      </c>
      <c r="J68" s="39">
        <f t="shared" si="4"/>
        <v>0</v>
      </c>
      <c r="K68" s="39">
        <f t="shared" si="5"/>
        <v>0</v>
      </c>
      <c r="L68" s="39">
        <f t="shared" si="6"/>
        <v>0</v>
      </c>
      <c r="M68" s="39">
        <f t="shared" si="7"/>
        <v>0</v>
      </c>
      <c r="N68" s="39">
        <f t="shared" si="8"/>
        <v>0</v>
      </c>
      <c r="O68" s="15" t="s">
        <v>35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 outlineLevel="1">
      <c r="A69" s="1"/>
      <c r="B69" s="1"/>
      <c r="C69" s="64"/>
      <c r="D69" s="38"/>
      <c r="E69" s="15"/>
      <c r="F69" s="39">
        <f t="shared" si="1"/>
        <v>0</v>
      </c>
      <c r="G69" s="40">
        <f t="shared" si="14"/>
        <v>2</v>
      </c>
      <c r="H69" s="39">
        <f t="shared" si="2"/>
        <v>0</v>
      </c>
      <c r="I69" s="39">
        <f t="shared" si="3"/>
        <v>0</v>
      </c>
      <c r="J69" s="39">
        <f t="shared" si="4"/>
        <v>0</v>
      </c>
      <c r="K69" s="39">
        <f t="shared" si="5"/>
        <v>0</v>
      </c>
      <c r="L69" s="39">
        <f t="shared" si="6"/>
        <v>0</v>
      </c>
      <c r="M69" s="39">
        <f t="shared" si="7"/>
        <v>0</v>
      </c>
      <c r="N69" s="39">
        <f t="shared" si="8"/>
        <v>0</v>
      </c>
      <c r="O69" s="15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 outlineLevel="1">
      <c r="A70" s="1"/>
      <c r="B70" s="1"/>
      <c r="C70" s="37"/>
      <c r="D70" s="38"/>
      <c r="E70" s="15"/>
      <c r="F70" s="39">
        <f t="shared" si="1"/>
        <v>0</v>
      </c>
      <c r="G70" s="40">
        <f t="shared" si="14"/>
        <v>2</v>
      </c>
      <c r="H70" s="39">
        <f t="shared" si="2"/>
        <v>0</v>
      </c>
      <c r="I70" s="39">
        <f t="shared" si="3"/>
        <v>0</v>
      </c>
      <c r="J70" s="39">
        <f t="shared" si="4"/>
        <v>0</v>
      </c>
      <c r="K70" s="39">
        <f t="shared" si="5"/>
        <v>0</v>
      </c>
      <c r="L70" s="39">
        <f t="shared" si="6"/>
        <v>0</v>
      </c>
      <c r="M70" s="39">
        <f t="shared" si="7"/>
        <v>0</v>
      </c>
      <c r="N70" s="39">
        <f t="shared" si="8"/>
        <v>0</v>
      </c>
      <c r="O70" s="15" t="s">
        <v>35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 outlineLevel="1">
      <c r="A71" s="1"/>
      <c r="B71" s="1"/>
      <c r="C71" s="60"/>
      <c r="D71" s="61"/>
      <c r="E71" s="62"/>
      <c r="F71" s="39">
        <f t="shared" si="1"/>
        <v>0</v>
      </c>
      <c r="G71" s="40">
        <f t="shared" si="14"/>
        <v>2</v>
      </c>
      <c r="H71" s="39">
        <f t="shared" si="2"/>
        <v>0</v>
      </c>
      <c r="I71" s="39">
        <f t="shared" si="3"/>
        <v>0</v>
      </c>
      <c r="J71" s="39">
        <f t="shared" si="4"/>
        <v>0</v>
      </c>
      <c r="K71" s="39">
        <f t="shared" si="5"/>
        <v>0</v>
      </c>
      <c r="L71" s="39">
        <f t="shared" si="6"/>
        <v>0</v>
      </c>
      <c r="M71" s="39">
        <f t="shared" si="7"/>
        <v>0</v>
      </c>
      <c r="N71" s="39">
        <f t="shared" si="8"/>
        <v>0</v>
      </c>
      <c r="O71" s="15" t="s">
        <v>35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 outlineLevel="1">
      <c r="A72" s="1"/>
      <c r="B72" s="1"/>
      <c r="C72" s="60"/>
      <c r="D72" s="61"/>
      <c r="E72" s="62"/>
      <c r="F72" s="39">
        <f t="shared" si="1"/>
        <v>0</v>
      </c>
      <c r="G72" s="65">
        <v>0.1</v>
      </c>
      <c r="H72" s="39">
        <f t="shared" si="2"/>
        <v>0</v>
      </c>
      <c r="I72" s="39">
        <f t="shared" si="3"/>
        <v>0</v>
      </c>
      <c r="J72" s="39">
        <f t="shared" si="4"/>
        <v>0</v>
      </c>
      <c r="K72" s="39">
        <f t="shared" si="5"/>
        <v>0</v>
      </c>
      <c r="L72" s="39">
        <f t="shared" si="6"/>
        <v>0</v>
      </c>
      <c r="M72" s="39">
        <f t="shared" si="7"/>
        <v>0</v>
      </c>
      <c r="N72" s="39">
        <f t="shared" si="8"/>
        <v>0</v>
      </c>
      <c r="O72" s="15" t="s">
        <v>35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 outlineLevel="1">
      <c r="A73" s="1"/>
      <c r="B73" s="1"/>
      <c r="C73" s="60"/>
      <c r="D73" s="61"/>
      <c r="E73" s="62"/>
      <c r="F73" s="39">
        <f t="shared" si="1"/>
        <v>0</v>
      </c>
      <c r="G73" s="40">
        <f t="shared" ref="G73:G76" si="15">G72</f>
        <v>0.1</v>
      </c>
      <c r="H73" s="39">
        <f t="shared" si="2"/>
        <v>0</v>
      </c>
      <c r="I73" s="39">
        <f t="shared" si="3"/>
        <v>0</v>
      </c>
      <c r="J73" s="39">
        <f t="shared" si="4"/>
        <v>0</v>
      </c>
      <c r="K73" s="39">
        <f t="shared" si="5"/>
        <v>0</v>
      </c>
      <c r="L73" s="39">
        <f t="shared" si="6"/>
        <v>0</v>
      </c>
      <c r="M73" s="39">
        <f t="shared" si="7"/>
        <v>0</v>
      </c>
      <c r="N73" s="39">
        <f t="shared" si="8"/>
        <v>0</v>
      </c>
      <c r="O73" s="15" t="s">
        <v>35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 outlineLevel="1">
      <c r="A74" s="1"/>
      <c r="B74" s="1"/>
      <c r="C74" s="60"/>
      <c r="D74" s="61"/>
      <c r="E74" s="62"/>
      <c r="F74" s="39">
        <f t="shared" si="1"/>
        <v>0</v>
      </c>
      <c r="G74" s="40">
        <f t="shared" si="15"/>
        <v>0.1</v>
      </c>
      <c r="H74" s="39">
        <f t="shared" si="2"/>
        <v>0</v>
      </c>
      <c r="I74" s="39">
        <f t="shared" si="3"/>
        <v>0</v>
      </c>
      <c r="J74" s="39">
        <f t="shared" si="4"/>
        <v>0</v>
      </c>
      <c r="K74" s="39">
        <f t="shared" si="5"/>
        <v>0</v>
      </c>
      <c r="L74" s="39">
        <f t="shared" si="6"/>
        <v>0</v>
      </c>
      <c r="M74" s="39">
        <f t="shared" si="7"/>
        <v>0</v>
      </c>
      <c r="N74" s="39">
        <f t="shared" si="8"/>
        <v>0</v>
      </c>
      <c r="O74" s="15" t="s">
        <v>35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 outlineLevel="1">
      <c r="A75" s="1"/>
      <c r="B75" s="1"/>
      <c r="C75" s="60"/>
      <c r="D75" s="61"/>
      <c r="E75" s="62"/>
      <c r="F75" s="39">
        <f t="shared" si="1"/>
        <v>0</v>
      </c>
      <c r="G75" s="40">
        <f t="shared" si="15"/>
        <v>0.1</v>
      </c>
      <c r="H75" s="39">
        <f t="shared" si="2"/>
        <v>0</v>
      </c>
      <c r="I75" s="39">
        <f t="shared" si="3"/>
        <v>0</v>
      </c>
      <c r="J75" s="39">
        <f t="shared" si="4"/>
        <v>0</v>
      </c>
      <c r="K75" s="39">
        <f t="shared" si="5"/>
        <v>0</v>
      </c>
      <c r="L75" s="39">
        <f t="shared" si="6"/>
        <v>0</v>
      </c>
      <c r="M75" s="39">
        <f t="shared" si="7"/>
        <v>0</v>
      </c>
      <c r="N75" s="39">
        <f t="shared" si="8"/>
        <v>0</v>
      </c>
      <c r="O75" s="15" t="s">
        <v>35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 outlineLevel="1">
      <c r="A76" s="1"/>
      <c r="B76" s="1"/>
      <c r="C76" s="41"/>
      <c r="D76" s="41"/>
      <c r="E76" s="66"/>
      <c r="F76" s="39">
        <f t="shared" si="1"/>
        <v>0</v>
      </c>
      <c r="G76" s="40">
        <f t="shared" si="15"/>
        <v>0.1</v>
      </c>
      <c r="H76" s="39">
        <f t="shared" si="2"/>
        <v>0</v>
      </c>
      <c r="I76" s="39">
        <f t="shared" si="3"/>
        <v>0</v>
      </c>
      <c r="J76" s="39">
        <f t="shared" si="4"/>
        <v>0</v>
      </c>
      <c r="K76" s="39">
        <f t="shared" si="5"/>
        <v>0</v>
      </c>
      <c r="L76" s="39">
        <f t="shared" si="6"/>
        <v>0</v>
      </c>
      <c r="M76" s="39">
        <f t="shared" si="7"/>
        <v>0</v>
      </c>
      <c r="N76" s="39">
        <f t="shared" si="8"/>
        <v>0</v>
      </c>
      <c r="O76" s="15" t="s">
        <v>35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4.5" customHeight="1" outlineLevel="1">
      <c r="A77" s="1"/>
      <c r="B77" s="1"/>
      <c r="C77" s="25"/>
      <c r="D77" s="26"/>
      <c r="E77" s="2"/>
      <c r="F77" s="39">
        <f t="shared" si="1"/>
        <v>0</v>
      </c>
      <c r="G77" s="42"/>
      <c r="H77" s="39">
        <f t="shared" si="2"/>
        <v>0</v>
      </c>
      <c r="I77" s="39">
        <f t="shared" si="3"/>
        <v>0</v>
      </c>
      <c r="J77" s="39">
        <f t="shared" si="4"/>
        <v>0</v>
      </c>
      <c r="K77" s="39">
        <f t="shared" si="5"/>
        <v>0</v>
      </c>
      <c r="L77" s="39">
        <f t="shared" si="6"/>
        <v>0</v>
      </c>
      <c r="M77" s="39">
        <f t="shared" si="7"/>
        <v>0</v>
      </c>
      <c r="N77" s="39">
        <f t="shared" si="8"/>
        <v>0</v>
      </c>
      <c r="O77" s="26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 outlineLevel="1">
      <c r="A78" s="1"/>
      <c r="B78" s="1"/>
      <c r="C78" s="33" t="s">
        <v>38</v>
      </c>
      <c r="D78" s="34"/>
      <c r="E78" s="2"/>
      <c r="F78" s="39">
        <f t="shared" si="1"/>
        <v>0</v>
      </c>
      <c r="G78" s="43"/>
      <c r="H78" s="39">
        <f t="shared" si="2"/>
        <v>0</v>
      </c>
      <c r="I78" s="39">
        <f t="shared" si="3"/>
        <v>0</v>
      </c>
      <c r="J78" s="39">
        <f t="shared" si="4"/>
        <v>0</v>
      </c>
      <c r="K78" s="39">
        <f t="shared" si="5"/>
        <v>0</v>
      </c>
      <c r="L78" s="39">
        <f t="shared" si="6"/>
        <v>0</v>
      </c>
      <c r="M78" s="39">
        <f t="shared" si="7"/>
        <v>0</v>
      </c>
      <c r="N78" s="39">
        <f t="shared" si="8"/>
        <v>0</v>
      </c>
      <c r="O78" s="36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 outlineLevel="1">
      <c r="A79" s="1"/>
      <c r="B79" s="1"/>
      <c r="C79" s="37"/>
      <c r="D79" s="38"/>
      <c r="E79" s="67"/>
      <c r="F79" s="39">
        <f t="shared" si="1"/>
        <v>0</v>
      </c>
      <c r="G79" s="14">
        <v>0.1</v>
      </c>
      <c r="H79" s="39">
        <f t="shared" si="2"/>
        <v>0</v>
      </c>
      <c r="I79" s="39">
        <f t="shared" si="3"/>
        <v>0</v>
      </c>
      <c r="J79" s="39">
        <f t="shared" si="4"/>
        <v>0</v>
      </c>
      <c r="K79" s="39">
        <f t="shared" si="5"/>
        <v>0</v>
      </c>
      <c r="L79" s="39">
        <f t="shared" si="6"/>
        <v>0</v>
      </c>
      <c r="M79" s="39">
        <f t="shared" si="7"/>
        <v>0</v>
      </c>
      <c r="N79" s="39">
        <f t="shared" si="8"/>
        <v>0</v>
      </c>
      <c r="O79" s="15" t="s">
        <v>38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 outlineLevel="1">
      <c r="A80" s="1"/>
      <c r="B80" s="1"/>
      <c r="C80" s="37"/>
      <c r="D80" s="38"/>
      <c r="E80" s="15"/>
      <c r="F80" s="39">
        <f t="shared" si="1"/>
        <v>0</v>
      </c>
      <c r="G80" s="40">
        <f t="shared" ref="G80:G83" si="16">G79</f>
        <v>0.1</v>
      </c>
      <c r="H80" s="39">
        <f t="shared" si="2"/>
        <v>0</v>
      </c>
      <c r="I80" s="39">
        <f t="shared" si="3"/>
        <v>0</v>
      </c>
      <c r="J80" s="39">
        <f t="shared" si="4"/>
        <v>0</v>
      </c>
      <c r="K80" s="39">
        <f t="shared" si="5"/>
        <v>0</v>
      </c>
      <c r="L80" s="39">
        <f t="shared" si="6"/>
        <v>0</v>
      </c>
      <c r="M80" s="39">
        <f t="shared" si="7"/>
        <v>0</v>
      </c>
      <c r="N80" s="39">
        <f t="shared" si="8"/>
        <v>0</v>
      </c>
      <c r="O80" s="15" t="s">
        <v>38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 outlineLevel="1">
      <c r="A81" s="1"/>
      <c r="B81" s="1"/>
      <c r="C81" s="37"/>
      <c r="D81" s="38"/>
      <c r="E81" s="15"/>
      <c r="F81" s="39">
        <f t="shared" si="1"/>
        <v>0</v>
      </c>
      <c r="G81" s="40">
        <f t="shared" si="16"/>
        <v>0.1</v>
      </c>
      <c r="H81" s="39">
        <f t="shared" si="2"/>
        <v>0</v>
      </c>
      <c r="I81" s="39">
        <f t="shared" si="3"/>
        <v>0</v>
      </c>
      <c r="J81" s="39">
        <f t="shared" si="4"/>
        <v>0</v>
      </c>
      <c r="K81" s="39">
        <f t="shared" si="5"/>
        <v>0</v>
      </c>
      <c r="L81" s="39">
        <f t="shared" si="6"/>
        <v>0</v>
      </c>
      <c r="M81" s="39">
        <f t="shared" si="7"/>
        <v>0</v>
      </c>
      <c r="N81" s="39">
        <f t="shared" si="8"/>
        <v>0</v>
      </c>
      <c r="O81" s="15" t="s">
        <v>38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 outlineLevel="1">
      <c r="A82" s="1"/>
      <c r="B82" s="1"/>
      <c r="C82" s="37"/>
      <c r="D82" s="38"/>
      <c r="E82" s="15"/>
      <c r="F82" s="39">
        <f t="shared" si="1"/>
        <v>0</v>
      </c>
      <c r="G82" s="40">
        <f t="shared" si="16"/>
        <v>0.1</v>
      </c>
      <c r="H82" s="39">
        <f t="shared" si="2"/>
        <v>0</v>
      </c>
      <c r="I82" s="39">
        <f t="shared" si="3"/>
        <v>0</v>
      </c>
      <c r="J82" s="39">
        <f t="shared" si="4"/>
        <v>0</v>
      </c>
      <c r="K82" s="39">
        <f t="shared" si="5"/>
        <v>0</v>
      </c>
      <c r="L82" s="39">
        <f t="shared" si="6"/>
        <v>0</v>
      </c>
      <c r="M82" s="39">
        <f t="shared" si="7"/>
        <v>0</v>
      </c>
      <c r="N82" s="39">
        <f t="shared" si="8"/>
        <v>0</v>
      </c>
      <c r="O82" s="15" t="s">
        <v>38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 outlineLevel="1">
      <c r="A83" s="1"/>
      <c r="B83" s="1"/>
      <c r="C83" s="37"/>
      <c r="D83" s="38"/>
      <c r="E83" s="15"/>
      <c r="F83" s="39">
        <f t="shared" si="1"/>
        <v>0</v>
      </c>
      <c r="G83" s="40">
        <f t="shared" si="16"/>
        <v>0.1</v>
      </c>
      <c r="H83" s="39">
        <f t="shared" si="2"/>
        <v>0</v>
      </c>
      <c r="I83" s="39">
        <f t="shared" si="3"/>
        <v>0</v>
      </c>
      <c r="J83" s="39">
        <f t="shared" si="4"/>
        <v>0</v>
      </c>
      <c r="K83" s="39">
        <f t="shared" si="5"/>
        <v>0</v>
      </c>
      <c r="L83" s="39">
        <f t="shared" si="6"/>
        <v>0</v>
      </c>
      <c r="M83" s="39">
        <f t="shared" si="7"/>
        <v>0</v>
      </c>
      <c r="N83" s="39">
        <f t="shared" si="8"/>
        <v>0</v>
      </c>
      <c r="O83" s="15" t="s">
        <v>38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4.5" customHeight="1" outlineLevel="1">
      <c r="A84" s="1"/>
      <c r="B84" s="1"/>
      <c r="C84" s="25"/>
      <c r="D84" s="26"/>
      <c r="E84" s="2"/>
      <c r="F84" s="39">
        <f t="shared" si="1"/>
        <v>0</v>
      </c>
      <c r="G84" s="42"/>
      <c r="H84" s="39">
        <f t="shared" si="2"/>
        <v>0</v>
      </c>
      <c r="I84" s="39">
        <f t="shared" si="3"/>
        <v>0</v>
      </c>
      <c r="J84" s="39">
        <f t="shared" si="4"/>
        <v>0</v>
      </c>
      <c r="K84" s="39">
        <f t="shared" si="5"/>
        <v>0</v>
      </c>
      <c r="L84" s="39">
        <f t="shared" si="6"/>
        <v>0</v>
      </c>
      <c r="M84" s="39">
        <f t="shared" si="7"/>
        <v>0</v>
      </c>
      <c r="N84" s="39">
        <f t="shared" si="8"/>
        <v>0</v>
      </c>
      <c r="O84" s="26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 outlineLevel="1">
      <c r="A85" s="1"/>
      <c r="B85" s="1"/>
      <c r="C85" s="33" t="s">
        <v>36</v>
      </c>
      <c r="D85" s="34"/>
      <c r="E85" s="2"/>
      <c r="F85" s="39">
        <f t="shared" si="1"/>
        <v>0</v>
      </c>
      <c r="G85" s="43"/>
      <c r="H85" s="39">
        <f t="shared" si="2"/>
        <v>0</v>
      </c>
      <c r="I85" s="39">
        <f t="shared" si="3"/>
        <v>0</v>
      </c>
      <c r="J85" s="39">
        <f t="shared" si="4"/>
        <v>0</v>
      </c>
      <c r="K85" s="39">
        <f t="shared" si="5"/>
        <v>0</v>
      </c>
      <c r="L85" s="39">
        <f t="shared" si="6"/>
        <v>0</v>
      </c>
      <c r="M85" s="39">
        <f t="shared" si="7"/>
        <v>0</v>
      </c>
      <c r="N85" s="39">
        <f t="shared" si="8"/>
        <v>0</v>
      </c>
      <c r="O85" s="36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 outlineLevel="1">
      <c r="A86" s="1"/>
      <c r="B86" s="1"/>
      <c r="C86" s="37"/>
      <c r="D86" s="38"/>
      <c r="E86" s="15"/>
      <c r="F86" s="39">
        <f t="shared" si="1"/>
        <v>0</v>
      </c>
      <c r="G86" s="17">
        <v>0.1</v>
      </c>
      <c r="H86" s="39">
        <f t="shared" si="2"/>
        <v>0</v>
      </c>
      <c r="I86" s="39">
        <f t="shared" si="3"/>
        <v>0</v>
      </c>
      <c r="J86" s="39">
        <f t="shared" si="4"/>
        <v>0</v>
      </c>
      <c r="K86" s="39">
        <f t="shared" si="5"/>
        <v>0</v>
      </c>
      <c r="L86" s="39">
        <f t="shared" si="6"/>
        <v>0</v>
      </c>
      <c r="M86" s="39">
        <f t="shared" si="7"/>
        <v>0</v>
      </c>
      <c r="N86" s="39">
        <f t="shared" si="8"/>
        <v>0</v>
      </c>
      <c r="O86" s="15" t="s">
        <v>36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 outlineLevel="1">
      <c r="A87" s="1"/>
      <c r="B87" s="1"/>
      <c r="C87" s="37"/>
      <c r="D87" s="38"/>
      <c r="E87" s="15"/>
      <c r="F87" s="39">
        <f t="shared" si="1"/>
        <v>0</v>
      </c>
      <c r="G87" s="40">
        <f t="shared" ref="G87:G89" si="17">G86</f>
        <v>0.1</v>
      </c>
      <c r="H87" s="39">
        <f t="shared" si="2"/>
        <v>0</v>
      </c>
      <c r="I87" s="39">
        <f t="shared" si="3"/>
        <v>0</v>
      </c>
      <c r="J87" s="39">
        <f t="shared" si="4"/>
        <v>0</v>
      </c>
      <c r="K87" s="39">
        <f t="shared" si="5"/>
        <v>0</v>
      </c>
      <c r="L87" s="39">
        <f t="shared" si="6"/>
        <v>0</v>
      </c>
      <c r="M87" s="39">
        <f t="shared" si="7"/>
        <v>0</v>
      </c>
      <c r="N87" s="39">
        <f t="shared" si="8"/>
        <v>0</v>
      </c>
      <c r="O87" s="15" t="s">
        <v>36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 outlineLevel="1">
      <c r="A88" s="1"/>
      <c r="B88" s="1"/>
      <c r="C88" s="41"/>
      <c r="D88" s="38"/>
      <c r="E88" s="15"/>
      <c r="F88" s="39">
        <f t="shared" si="1"/>
        <v>0</v>
      </c>
      <c r="G88" s="40">
        <f t="shared" si="17"/>
        <v>0.1</v>
      </c>
      <c r="H88" s="39">
        <f t="shared" si="2"/>
        <v>0</v>
      </c>
      <c r="I88" s="39">
        <f t="shared" si="3"/>
        <v>0</v>
      </c>
      <c r="J88" s="39">
        <f t="shared" si="4"/>
        <v>0</v>
      </c>
      <c r="K88" s="39">
        <f t="shared" si="5"/>
        <v>0</v>
      </c>
      <c r="L88" s="39">
        <f t="shared" si="6"/>
        <v>0</v>
      </c>
      <c r="M88" s="39">
        <f t="shared" si="7"/>
        <v>0</v>
      </c>
      <c r="N88" s="39">
        <f t="shared" si="8"/>
        <v>0</v>
      </c>
      <c r="O88" s="15" t="s">
        <v>36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 outlineLevel="1">
      <c r="A89" s="1"/>
      <c r="B89" s="1"/>
      <c r="C89" s="37"/>
      <c r="D89" s="38"/>
      <c r="E89" s="15"/>
      <c r="F89" s="39">
        <f t="shared" si="1"/>
        <v>0</v>
      </c>
      <c r="G89" s="40">
        <f t="shared" si="17"/>
        <v>0.1</v>
      </c>
      <c r="H89" s="39">
        <f t="shared" si="2"/>
        <v>0</v>
      </c>
      <c r="I89" s="39">
        <f t="shared" si="3"/>
        <v>0</v>
      </c>
      <c r="J89" s="39">
        <f t="shared" si="4"/>
        <v>0</v>
      </c>
      <c r="K89" s="39">
        <f t="shared" si="5"/>
        <v>0</v>
      </c>
      <c r="L89" s="39">
        <f t="shared" si="6"/>
        <v>0</v>
      </c>
      <c r="M89" s="39">
        <f t="shared" si="7"/>
        <v>0</v>
      </c>
      <c r="N89" s="39">
        <f t="shared" si="8"/>
        <v>0</v>
      </c>
      <c r="O89" s="15" t="s">
        <v>36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 outlineLevel="1">
      <c r="A90" s="1"/>
      <c r="B90" s="1"/>
      <c r="C90" s="37"/>
      <c r="D90" s="38"/>
      <c r="E90" s="15"/>
      <c r="F90" s="39">
        <f t="shared" si="1"/>
        <v>0</v>
      </c>
      <c r="G90" s="40">
        <f>G88</f>
        <v>0.1</v>
      </c>
      <c r="H90" s="39">
        <f t="shared" si="2"/>
        <v>0</v>
      </c>
      <c r="I90" s="39">
        <f t="shared" si="3"/>
        <v>0</v>
      </c>
      <c r="J90" s="39">
        <f t="shared" si="4"/>
        <v>0</v>
      </c>
      <c r="K90" s="39">
        <f t="shared" si="5"/>
        <v>0</v>
      </c>
      <c r="L90" s="39">
        <f t="shared" si="6"/>
        <v>0</v>
      </c>
      <c r="M90" s="39">
        <f t="shared" si="7"/>
        <v>0</v>
      </c>
      <c r="N90" s="39">
        <f t="shared" si="8"/>
        <v>0</v>
      </c>
      <c r="O90" s="15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 outlineLevel="1">
      <c r="A91" s="1"/>
      <c r="B91" s="1"/>
      <c r="C91" s="37"/>
      <c r="D91" s="38"/>
      <c r="E91" s="15"/>
      <c r="F91" s="39">
        <f t="shared" si="1"/>
        <v>0</v>
      </c>
      <c r="G91" s="40">
        <f>G90</f>
        <v>0.1</v>
      </c>
      <c r="H91" s="39">
        <f t="shared" si="2"/>
        <v>0</v>
      </c>
      <c r="I91" s="39">
        <f t="shared" si="3"/>
        <v>0</v>
      </c>
      <c r="J91" s="39">
        <f t="shared" si="4"/>
        <v>0</v>
      </c>
      <c r="K91" s="39">
        <f t="shared" si="5"/>
        <v>0</v>
      </c>
      <c r="L91" s="39">
        <f t="shared" si="6"/>
        <v>0</v>
      </c>
      <c r="M91" s="39">
        <f t="shared" si="7"/>
        <v>0</v>
      </c>
      <c r="N91" s="39">
        <f t="shared" si="8"/>
        <v>0</v>
      </c>
      <c r="O91" s="15" t="s">
        <v>36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1"/>
      <c r="B92" s="1"/>
      <c r="C92" s="25"/>
      <c r="D92" s="26"/>
      <c r="E92" s="2"/>
      <c r="F92" s="39">
        <f t="shared" si="1"/>
        <v>0</v>
      </c>
      <c r="G92" s="43"/>
      <c r="H92" s="39">
        <f t="shared" si="2"/>
        <v>0</v>
      </c>
      <c r="I92" s="39">
        <f t="shared" si="3"/>
        <v>0</v>
      </c>
      <c r="J92" s="39">
        <f t="shared" si="4"/>
        <v>0</v>
      </c>
      <c r="K92" s="39">
        <f t="shared" si="5"/>
        <v>0</v>
      </c>
      <c r="L92" s="39">
        <f t="shared" si="6"/>
        <v>0</v>
      </c>
      <c r="M92" s="39">
        <f t="shared" si="7"/>
        <v>0</v>
      </c>
      <c r="N92" s="39">
        <f t="shared" si="8"/>
        <v>0</v>
      </c>
      <c r="O92" s="36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7"/>
      <c r="B93" s="28"/>
      <c r="C93" s="29" t="s">
        <v>39</v>
      </c>
      <c r="D93" s="30"/>
      <c r="E93" s="31"/>
      <c r="F93" s="39">
        <f t="shared" si="1"/>
        <v>0</v>
      </c>
      <c r="G93" s="53"/>
      <c r="H93" s="39">
        <f t="shared" si="2"/>
        <v>0</v>
      </c>
      <c r="I93" s="39">
        <f t="shared" si="3"/>
        <v>0</v>
      </c>
      <c r="J93" s="39">
        <f t="shared" si="4"/>
        <v>0</v>
      </c>
      <c r="K93" s="39">
        <f t="shared" si="5"/>
        <v>0</v>
      </c>
      <c r="L93" s="39">
        <f t="shared" si="6"/>
        <v>0</v>
      </c>
      <c r="M93" s="39">
        <f t="shared" si="7"/>
        <v>0</v>
      </c>
      <c r="N93" s="39">
        <f t="shared" si="8"/>
        <v>0</v>
      </c>
      <c r="O93" s="3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4.5" customHeight="1" outlineLevel="1">
      <c r="A94" s="1"/>
      <c r="B94" s="1"/>
      <c r="C94" s="25"/>
      <c r="D94" s="26"/>
      <c r="E94" s="2"/>
      <c r="F94" s="39">
        <f t="shared" si="1"/>
        <v>0</v>
      </c>
      <c r="G94" s="26"/>
      <c r="H94" s="39">
        <f t="shared" si="2"/>
        <v>0</v>
      </c>
      <c r="I94" s="39">
        <f t="shared" si="3"/>
        <v>0</v>
      </c>
      <c r="J94" s="39">
        <f t="shared" si="4"/>
        <v>0</v>
      </c>
      <c r="K94" s="39">
        <f t="shared" si="5"/>
        <v>0</v>
      </c>
      <c r="L94" s="39">
        <f t="shared" si="6"/>
        <v>0</v>
      </c>
      <c r="M94" s="39">
        <f t="shared" si="7"/>
        <v>0</v>
      </c>
      <c r="N94" s="39">
        <f t="shared" si="8"/>
        <v>0</v>
      </c>
      <c r="O94" s="26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 outlineLevel="1">
      <c r="A95" s="1"/>
      <c r="B95" s="1"/>
      <c r="C95" s="33" t="s">
        <v>34</v>
      </c>
      <c r="D95" s="68"/>
      <c r="E95" s="2"/>
      <c r="F95" s="39">
        <f t="shared" si="1"/>
        <v>0</v>
      </c>
      <c r="G95" s="36"/>
      <c r="H95" s="39">
        <f t="shared" si="2"/>
        <v>0</v>
      </c>
      <c r="I95" s="39">
        <f t="shared" si="3"/>
        <v>0</v>
      </c>
      <c r="J95" s="39">
        <f t="shared" si="4"/>
        <v>0</v>
      </c>
      <c r="K95" s="39">
        <f t="shared" si="5"/>
        <v>0</v>
      </c>
      <c r="L95" s="39">
        <f t="shared" si="6"/>
        <v>0</v>
      </c>
      <c r="M95" s="39">
        <f t="shared" si="7"/>
        <v>0</v>
      </c>
      <c r="N95" s="39">
        <f t="shared" si="8"/>
        <v>0</v>
      </c>
      <c r="O95" s="36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 outlineLevel="1">
      <c r="A96" s="1"/>
      <c r="B96" s="1"/>
      <c r="C96" s="37"/>
      <c r="D96" s="38"/>
      <c r="E96" s="15"/>
      <c r="F96" s="39">
        <f t="shared" si="1"/>
        <v>0</v>
      </c>
      <c r="G96" s="17">
        <v>0.1</v>
      </c>
      <c r="H96" s="39">
        <f t="shared" si="2"/>
        <v>0</v>
      </c>
      <c r="I96" s="39">
        <f t="shared" si="3"/>
        <v>0</v>
      </c>
      <c r="J96" s="39">
        <f t="shared" si="4"/>
        <v>0</v>
      </c>
      <c r="K96" s="39">
        <f t="shared" si="5"/>
        <v>0</v>
      </c>
      <c r="L96" s="39">
        <f t="shared" si="6"/>
        <v>0</v>
      </c>
      <c r="M96" s="39">
        <f t="shared" si="7"/>
        <v>0</v>
      </c>
      <c r="N96" s="39">
        <f t="shared" si="8"/>
        <v>0</v>
      </c>
      <c r="O96" s="15" t="s">
        <v>34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 outlineLevel="1">
      <c r="A97" s="1">
        <v>40.0</v>
      </c>
      <c r="B97" s="1"/>
      <c r="C97" s="69"/>
      <c r="D97" s="38"/>
      <c r="E97" s="15"/>
      <c r="F97" s="39">
        <f t="shared" si="1"/>
        <v>0</v>
      </c>
      <c r="G97" s="40">
        <f t="shared" ref="G97:G100" si="18">G96</f>
        <v>0.1</v>
      </c>
      <c r="H97" s="39">
        <f t="shared" si="2"/>
        <v>0</v>
      </c>
      <c r="I97" s="39">
        <f t="shared" si="3"/>
        <v>0</v>
      </c>
      <c r="J97" s="39">
        <f t="shared" si="4"/>
        <v>0</v>
      </c>
      <c r="K97" s="39">
        <f t="shared" si="5"/>
        <v>0</v>
      </c>
      <c r="L97" s="39">
        <f t="shared" si="6"/>
        <v>0</v>
      </c>
      <c r="M97" s="39">
        <f t="shared" si="7"/>
        <v>0</v>
      </c>
      <c r="N97" s="39">
        <f t="shared" si="8"/>
        <v>0</v>
      </c>
      <c r="O97" s="15" t="s">
        <v>34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 outlineLevel="1">
      <c r="A98" s="1">
        <v>16.0</v>
      </c>
      <c r="B98" s="1"/>
      <c r="C98" s="37"/>
      <c r="D98" s="38"/>
      <c r="E98" s="15"/>
      <c r="F98" s="39">
        <f t="shared" si="1"/>
        <v>0</v>
      </c>
      <c r="G98" s="40">
        <f t="shared" si="18"/>
        <v>0.1</v>
      </c>
      <c r="H98" s="39">
        <f t="shared" si="2"/>
        <v>0</v>
      </c>
      <c r="I98" s="39">
        <f t="shared" si="3"/>
        <v>0</v>
      </c>
      <c r="J98" s="39">
        <f t="shared" si="4"/>
        <v>0</v>
      </c>
      <c r="K98" s="39">
        <f t="shared" si="5"/>
        <v>0</v>
      </c>
      <c r="L98" s="39">
        <f t="shared" si="6"/>
        <v>0</v>
      </c>
      <c r="M98" s="39">
        <f t="shared" si="7"/>
        <v>0</v>
      </c>
      <c r="N98" s="39">
        <f t="shared" si="8"/>
        <v>0</v>
      </c>
      <c r="O98" s="15" t="s">
        <v>34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 outlineLevel="1">
      <c r="A99" s="1">
        <v>60.0</v>
      </c>
      <c r="B99" s="1"/>
      <c r="C99" s="60"/>
      <c r="D99" s="61"/>
      <c r="E99" s="62"/>
      <c r="F99" s="39">
        <f t="shared" si="1"/>
        <v>0</v>
      </c>
      <c r="G99" s="40">
        <f t="shared" si="18"/>
        <v>0.1</v>
      </c>
      <c r="H99" s="39">
        <f t="shared" si="2"/>
        <v>0</v>
      </c>
      <c r="I99" s="39">
        <f t="shared" si="3"/>
        <v>0</v>
      </c>
      <c r="J99" s="39">
        <f t="shared" si="4"/>
        <v>0</v>
      </c>
      <c r="K99" s="39">
        <f t="shared" si="5"/>
        <v>0</v>
      </c>
      <c r="L99" s="39">
        <f t="shared" si="6"/>
        <v>0</v>
      </c>
      <c r="M99" s="39">
        <f t="shared" si="7"/>
        <v>0</v>
      </c>
      <c r="N99" s="39">
        <f t="shared" si="8"/>
        <v>0</v>
      </c>
      <c r="O99" s="15" t="s">
        <v>34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 outlineLevel="1">
      <c r="A100" s="1">
        <f>SUM(A97:A99)</f>
        <v>116</v>
      </c>
      <c r="B100" s="1"/>
      <c r="C100" s="37"/>
      <c r="D100" s="38"/>
      <c r="E100" s="15"/>
      <c r="F100" s="39">
        <f t="shared" si="1"/>
        <v>0</v>
      </c>
      <c r="G100" s="40">
        <f t="shared" si="18"/>
        <v>0.1</v>
      </c>
      <c r="H100" s="39">
        <f t="shared" si="2"/>
        <v>0</v>
      </c>
      <c r="I100" s="39">
        <f t="shared" si="3"/>
        <v>0</v>
      </c>
      <c r="J100" s="39">
        <f t="shared" si="4"/>
        <v>0</v>
      </c>
      <c r="K100" s="39">
        <f t="shared" si="5"/>
        <v>0</v>
      </c>
      <c r="L100" s="39">
        <f t="shared" si="6"/>
        <v>0</v>
      </c>
      <c r="M100" s="39">
        <f t="shared" si="7"/>
        <v>0</v>
      </c>
      <c r="N100" s="39">
        <f t="shared" si="8"/>
        <v>0</v>
      </c>
      <c r="O100" s="15" t="s">
        <v>34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4.5" customHeight="1" outlineLevel="1">
      <c r="A101" s="1"/>
      <c r="B101" s="1"/>
      <c r="C101" s="25"/>
      <c r="D101" s="26"/>
      <c r="E101" s="2"/>
      <c r="F101" s="39">
        <f t="shared" si="1"/>
        <v>0</v>
      </c>
      <c r="G101" s="42"/>
      <c r="H101" s="39">
        <f t="shared" si="2"/>
        <v>0</v>
      </c>
      <c r="I101" s="39">
        <f t="shared" si="3"/>
        <v>0</v>
      </c>
      <c r="J101" s="39">
        <f t="shared" si="4"/>
        <v>0</v>
      </c>
      <c r="K101" s="39">
        <f t="shared" si="5"/>
        <v>0</v>
      </c>
      <c r="L101" s="39">
        <f t="shared" si="6"/>
        <v>0</v>
      </c>
      <c r="M101" s="39">
        <f t="shared" si="7"/>
        <v>0</v>
      </c>
      <c r="N101" s="39">
        <f t="shared" si="8"/>
        <v>0</v>
      </c>
      <c r="O101" s="26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 outlineLevel="1">
      <c r="A102" s="1"/>
      <c r="B102" s="1"/>
      <c r="C102" s="33"/>
      <c r="D102" s="34"/>
      <c r="E102" s="2"/>
      <c r="F102" s="39">
        <f t="shared" si="1"/>
        <v>0</v>
      </c>
      <c r="G102" s="63"/>
      <c r="H102" s="39">
        <f t="shared" si="2"/>
        <v>0</v>
      </c>
      <c r="I102" s="39">
        <f t="shared" si="3"/>
        <v>0</v>
      </c>
      <c r="J102" s="39">
        <f t="shared" si="4"/>
        <v>0</v>
      </c>
      <c r="K102" s="39">
        <f t="shared" si="5"/>
        <v>0</v>
      </c>
      <c r="L102" s="39">
        <f t="shared" si="6"/>
        <v>0</v>
      </c>
      <c r="M102" s="39">
        <f t="shared" si="7"/>
        <v>0</v>
      </c>
      <c r="N102" s="39">
        <f t="shared" si="8"/>
        <v>0</v>
      </c>
      <c r="O102" s="36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 outlineLevel="1">
      <c r="A103" s="1"/>
      <c r="B103" s="1"/>
      <c r="C103" s="37"/>
      <c r="D103" s="38"/>
      <c r="E103" s="15"/>
      <c r="F103" s="39">
        <f t="shared" si="1"/>
        <v>0</v>
      </c>
      <c r="G103" s="14">
        <v>2.0</v>
      </c>
      <c r="H103" s="39">
        <f t="shared" si="2"/>
        <v>0</v>
      </c>
      <c r="I103" s="39">
        <f t="shared" si="3"/>
        <v>0</v>
      </c>
      <c r="J103" s="39">
        <f t="shared" si="4"/>
        <v>0</v>
      </c>
      <c r="K103" s="39">
        <f t="shared" si="5"/>
        <v>0</v>
      </c>
      <c r="L103" s="39">
        <f t="shared" si="6"/>
        <v>0</v>
      </c>
      <c r="M103" s="39">
        <f t="shared" si="7"/>
        <v>0</v>
      </c>
      <c r="N103" s="39">
        <f t="shared" si="8"/>
        <v>0</v>
      </c>
      <c r="O103" s="15" t="s">
        <v>35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 outlineLevel="1">
      <c r="A104" s="1"/>
      <c r="B104" s="1"/>
      <c r="C104" s="69"/>
      <c r="D104" s="38"/>
      <c r="E104" s="15"/>
      <c r="F104" s="39">
        <f t="shared" si="1"/>
        <v>0</v>
      </c>
      <c r="G104" s="40">
        <f t="shared" ref="G104:G107" si="19">G103</f>
        <v>2</v>
      </c>
      <c r="H104" s="39">
        <f t="shared" si="2"/>
        <v>0</v>
      </c>
      <c r="I104" s="39">
        <f t="shared" si="3"/>
        <v>0</v>
      </c>
      <c r="J104" s="39">
        <f t="shared" si="4"/>
        <v>0</v>
      </c>
      <c r="K104" s="39">
        <f t="shared" si="5"/>
        <v>0</v>
      </c>
      <c r="L104" s="39">
        <f t="shared" si="6"/>
        <v>0</v>
      </c>
      <c r="M104" s="39">
        <f t="shared" si="7"/>
        <v>0</v>
      </c>
      <c r="N104" s="39">
        <f t="shared" si="8"/>
        <v>0</v>
      </c>
      <c r="O104" s="15" t="s">
        <v>35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 outlineLevel="1">
      <c r="A105" s="1"/>
      <c r="B105" s="1"/>
      <c r="C105" s="64"/>
      <c r="D105" s="38"/>
      <c r="E105" s="15"/>
      <c r="F105" s="39">
        <f t="shared" si="1"/>
        <v>0</v>
      </c>
      <c r="G105" s="40">
        <f t="shared" si="19"/>
        <v>2</v>
      </c>
      <c r="H105" s="39">
        <f t="shared" si="2"/>
        <v>0</v>
      </c>
      <c r="I105" s="39">
        <f t="shared" si="3"/>
        <v>0</v>
      </c>
      <c r="J105" s="39">
        <f t="shared" si="4"/>
        <v>0</v>
      </c>
      <c r="K105" s="39">
        <f t="shared" si="5"/>
        <v>0</v>
      </c>
      <c r="L105" s="39">
        <f t="shared" si="6"/>
        <v>0</v>
      </c>
      <c r="M105" s="39">
        <f t="shared" si="7"/>
        <v>0</v>
      </c>
      <c r="N105" s="39">
        <f t="shared" si="8"/>
        <v>0</v>
      </c>
      <c r="O105" s="15" t="s">
        <v>35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 outlineLevel="1">
      <c r="A106" s="1"/>
      <c r="B106" s="1"/>
      <c r="C106" s="37"/>
      <c r="D106" s="38"/>
      <c r="E106" s="15"/>
      <c r="F106" s="39">
        <f t="shared" si="1"/>
        <v>0</v>
      </c>
      <c r="G106" s="40">
        <f t="shared" si="19"/>
        <v>2</v>
      </c>
      <c r="H106" s="39">
        <f t="shared" si="2"/>
        <v>0</v>
      </c>
      <c r="I106" s="39">
        <f t="shared" si="3"/>
        <v>0</v>
      </c>
      <c r="J106" s="39">
        <f t="shared" si="4"/>
        <v>0</v>
      </c>
      <c r="K106" s="39">
        <f t="shared" si="5"/>
        <v>0</v>
      </c>
      <c r="L106" s="39">
        <f t="shared" si="6"/>
        <v>0</v>
      </c>
      <c r="M106" s="39">
        <f t="shared" si="7"/>
        <v>0</v>
      </c>
      <c r="N106" s="39">
        <f t="shared" si="8"/>
        <v>0</v>
      </c>
      <c r="O106" s="15" t="s">
        <v>35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 outlineLevel="1">
      <c r="A107" s="1"/>
      <c r="B107" s="1"/>
      <c r="C107" s="37"/>
      <c r="D107" s="38"/>
      <c r="E107" s="15"/>
      <c r="F107" s="39">
        <f t="shared" si="1"/>
        <v>0</v>
      </c>
      <c r="G107" s="40">
        <f t="shared" si="19"/>
        <v>2</v>
      </c>
      <c r="H107" s="39">
        <f t="shared" si="2"/>
        <v>0</v>
      </c>
      <c r="I107" s="39">
        <f t="shared" si="3"/>
        <v>0</v>
      </c>
      <c r="J107" s="39">
        <f t="shared" si="4"/>
        <v>0</v>
      </c>
      <c r="K107" s="39">
        <f t="shared" si="5"/>
        <v>0</v>
      </c>
      <c r="L107" s="39">
        <f t="shared" si="6"/>
        <v>0</v>
      </c>
      <c r="M107" s="39">
        <f t="shared" si="7"/>
        <v>0</v>
      </c>
      <c r="N107" s="39">
        <f t="shared" si="8"/>
        <v>0</v>
      </c>
      <c r="O107" s="15" t="s">
        <v>35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 outlineLevel="1">
      <c r="A108" s="1"/>
      <c r="B108" s="1"/>
      <c r="C108" s="37"/>
      <c r="D108" s="38"/>
      <c r="E108" s="15"/>
      <c r="F108" s="39">
        <f t="shared" si="1"/>
        <v>0</v>
      </c>
      <c r="G108" s="40">
        <f>G106</f>
        <v>2</v>
      </c>
      <c r="H108" s="39">
        <f t="shared" si="2"/>
        <v>0</v>
      </c>
      <c r="I108" s="39">
        <f t="shared" si="3"/>
        <v>0</v>
      </c>
      <c r="J108" s="39">
        <f t="shared" si="4"/>
        <v>0</v>
      </c>
      <c r="K108" s="39">
        <f t="shared" si="5"/>
        <v>0</v>
      </c>
      <c r="L108" s="39">
        <f t="shared" si="6"/>
        <v>0</v>
      </c>
      <c r="M108" s="39">
        <f t="shared" si="7"/>
        <v>0</v>
      </c>
      <c r="N108" s="39">
        <f t="shared" si="8"/>
        <v>0</v>
      </c>
      <c r="O108" s="15" t="s">
        <v>35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4.5" customHeight="1" outlineLevel="1">
      <c r="A109" s="1"/>
      <c r="B109" s="1"/>
      <c r="C109" s="25"/>
      <c r="D109" s="26"/>
      <c r="E109" s="2"/>
      <c r="F109" s="39">
        <f t="shared" si="1"/>
        <v>0</v>
      </c>
      <c r="G109" s="42"/>
      <c r="H109" s="39">
        <f t="shared" si="2"/>
        <v>0</v>
      </c>
      <c r="I109" s="39">
        <f t="shared" si="3"/>
        <v>0</v>
      </c>
      <c r="J109" s="39">
        <f t="shared" si="4"/>
        <v>0</v>
      </c>
      <c r="K109" s="39">
        <f t="shared" si="5"/>
        <v>0</v>
      </c>
      <c r="L109" s="39">
        <f t="shared" si="6"/>
        <v>0</v>
      </c>
      <c r="M109" s="39">
        <f t="shared" si="7"/>
        <v>0</v>
      </c>
      <c r="N109" s="39">
        <f t="shared" si="8"/>
        <v>0</v>
      </c>
      <c r="O109" s="26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 outlineLevel="1">
      <c r="A110" s="1"/>
      <c r="B110" s="1"/>
      <c r="C110" s="33" t="s">
        <v>38</v>
      </c>
      <c r="D110" s="34"/>
      <c r="E110" s="2"/>
      <c r="F110" s="39">
        <f t="shared" si="1"/>
        <v>0</v>
      </c>
      <c r="G110" s="43"/>
      <c r="H110" s="39">
        <f t="shared" si="2"/>
        <v>0</v>
      </c>
      <c r="I110" s="39">
        <f t="shared" si="3"/>
        <v>0</v>
      </c>
      <c r="J110" s="39">
        <f t="shared" si="4"/>
        <v>0</v>
      </c>
      <c r="K110" s="39">
        <f t="shared" si="5"/>
        <v>0</v>
      </c>
      <c r="L110" s="39">
        <f t="shared" si="6"/>
        <v>0</v>
      </c>
      <c r="M110" s="39">
        <f t="shared" si="7"/>
        <v>0</v>
      </c>
      <c r="N110" s="39">
        <f t="shared" si="8"/>
        <v>0</v>
      </c>
      <c r="O110" s="36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 outlineLevel="1">
      <c r="A111" s="1"/>
      <c r="B111" s="1"/>
      <c r="C111" s="64"/>
      <c r="D111" s="38"/>
      <c r="E111" s="15"/>
      <c r="F111" s="39">
        <f t="shared" si="1"/>
        <v>0</v>
      </c>
      <c r="G111" s="14">
        <v>0.1</v>
      </c>
      <c r="H111" s="39">
        <f t="shared" si="2"/>
        <v>0</v>
      </c>
      <c r="I111" s="39">
        <f t="shared" si="3"/>
        <v>0</v>
      </c>
      <c r="J111" s="39">
        <f t="shared" si="4"/>
        <v>0</v>
      </c>
      <c r="K111" s="39">
        <f t="shared" si="5"/>
        <v>0</v>
      </c>
      <c r="L111" s="39">
        <f t="shared" si="6"/>
        <v>0</v>
      </c>
      <c r="M111" s="39">
        <f t="shared" si="7"/>
        <v>0</v>
      </c>
      <c r="N111" s="39">
        <f t="shared" si="8"/>
        <v>0</v>
      </c>
      <c r="O111" s="15" t="s">
        <v>38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 outlineLevel="1">
      <c r="A112" s="1"/>
      <c r="B112" s="1"/>
      <c r="C112" s="64"/>
      <c r="D112" s="38"/>
      <c r="E112" s="15"/>
      <c r="F112" s="39">
        <f t="shared" si="1"/>
        <v>0</v>
      </c>
      <c r="G112" s="40">
        <f t="shared" ref="G112:G115" si="20">G111</f>
        <v>0.1</v>
      </c>
      <c r="H112" s="39">
        <f t="shared" si="2"/>
        <v>0</v>
      </c>
      <c r="I112" s="39">
        <f t="shared" si="3"/>
        <v>0</v>
      </c>
      <c r="J112" s="39">
        <f t="shared" si="4"/>
        <v>0</v>
      </c>
      <c r="K112" s="39">
        <f t="shared" si="5"/>
        <v>0</v>
      </c>
      <c r="L112" s="39">
        <f t="shared" si="6"/>
        <v>0</v>
      </c>
      <c r="M112" s="39">
        <f t="shared" si="7"/>
        <v>0</v>
      </c>
      <c r="N112" s="39">
        <f t="shared" si="8"/>
        <v>0</v>
      </c>
      <c r="O112" s="15" t="s">
        <v>38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 outlineLevel="1">
      <c r="A113" s="1"/>
      <c r="B113" s="1"/>
      <c r="C113" s="37"/>
      <c r="D113" s="38"/>
      <c r="E113" s="15"/>
      <c r="F113" s="39">
        <f t="shared" si="1"/>
        <v>0</v>
      </c>
      <c r="G113" s="40">
        <f t="shared" si="20"/>
        <v>0.1</v>
      </c>
      <c r="H113" s="39">
        <f t="shared" si="2"/>
        <v>0</v>
      </c>
      <c r="I113" s="39">
        <f t="shared" si="3"/>
        <v>0</v>
      </c>
      <c r="J113" s="39">
        <f t="shared" si="4"/>
        <v>0</v>
      </c>
      <c r="K113" s="39">
        <f t="shared" si="5"/>
        <v>0</v>
      </c>
      <c r="L113" s="39">
        <f t="shared" si="6"/>
        <v>0</v>
      </c>
      <c r="M113" s="39">
        <f t="shared" si="7"/>
        <v>0</v>
      </c>
      <c r="N113" s="39">
        <f t="shared" si="8"/>
        <v>0</v>
      </c>
      <c r="O113" s="15" t="s">
        <v>38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 outlineLevel="1">
      <c r="A114" s="1"/>
      <c r="B114" s="1"/>
      <c r="C114" s="37"/>
      <c r="D114" s="38"/>
      <c r="E114" s="15"/>
      <c r="F114" s="39">
        <f t="shared" si="1"/>
        <v>0</v>
      </c>
      <c r="G114" s="40">
        <f t="shared" si="20"/>
        <v>0.1</v>
      </c>
      <c r="H114" s="39">
        <f t="shared" si="2"/>
        <v>0</v>
      </c>
      <c r="I114" s="39">
        <f t="shared" si="3"/>
        <v>0</v>
      </c>
      <c r="J114" s="39">
        <f t="shared" si="4"/>
        <v>0</v>
      </c>
      <c r="K114" s="39">
        <f t="shared" si="5"/>
        <v>0</v>
      </c>
      <c r="L114" s="39">
        <f t="shared" si="6"/>
        <v>0</v>
      </c>
      <c r="M114" s="39">
        <f t="shared" si="7"/>
        <v>0</v>
      </c>
      <c r="N114" s="39">
        <f t="shared" si="8"/>
        <v>0</v>
      </c>
      <c r="O114" s="15" t="s">
        <v>38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 outlineLevel="1">
      <c r="A115" s="1"/>
      <c r="B115" s="1"/>
      <c r="C115" s="37"/>
      <c r="D115" s="38"/>
      <c r="E115" s="15"/>
      <c r="F115" s="39">
        <f t="shared" si="1"/>
        <v>0</v>
      </c>
      <c r="G115" s="40">
        <f t="shared" si="20"/>
        <v>0.1</v>
      </c>
      <c r="H115" s="39">
        <f t="shared" si="2"/>
        <v>0</v>
      </c>
      <c r="I115" s="39">
        <f t="shared" si="3"/>
        <v>0</v>
      </c>
      <c r="J115" s="39">
        <f t="shared" si="4"/>
        <v>0</v>
      </c>
      <c r="K115" s="39">
        <f t="shared" si="5"/>
        <v>0</v>
      </c>
      <c r="L115" s="39">
        <f t="shared" si="6"/>
        <v>0</v>
      </c>
      <c r="M115" s="39">
        <f t="shared" si="7"/>
        <v>0</v>
      </c>
      <c r="N115" s="39">
        <f t="shared" si="8"/>
        <v>0</v>
      </c>
      <c r="O115" s="15" t="s">
        <v>38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4.5" customHeight="1" outlineLevel="1">
      <c r="A116" s="1"/>
      <c r="B116" s="1"/>
      <c r="C116" s="25"/>
      <c r="D116" s="26"/>
      <c r="E116" s="2"/>
      <c r="F116" s="39">
        <f t="shared" si="1"/>
        <v>0</v>
      </c>
      <c r="G116" s="42"/>
      <c r="H116" s="39">
        <f t="shared" si="2"/>
        <v>0</v>
      </c>
      <c r="I116" s="39">
        <f t="shared" si="3"/>
        <v>0</v>
      </c>
      <c r="J116" s="39">
        <f t="shared" si="4"/>
        <v>0</v>
      </c>
      <c r="K116" s="39">
        <f t="shared" si="5"/>
        <v>0</v>
      </c>
      <c r="L116" s="39">
        <f t="shared" si="6"/>
        <v>0</v>
      </c>
      <c r="M116" s="39">
        <f t="shared" si="7"/>
        <v>0</v>
      </c>
      <c r="N116" s="39">
        <f t="shared" si="8"/>
        <v>0</v>
      </c>
      <c r="O116" s="26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 outlineLevel="1">
      <c r="A117" s="1"/>
      <c r="B117" s="1"/>
      <c r="C117" s="33" t="s">
        <v>36</v>
      </c>
      <c r="D117" s="34"/>
      <c r="E117" s="2"/>
      <c r="F117" s="39">
        <f t="shared" si="1"/>
        <v>0</v>
      </c>
      <c r="G117" s="43"/>
      <c r="H117" s="39">
        <f t="shared" si="2"/>
        <v>0</v>
      </c>
      <c r="I117" s="39">
        <f t="shared" si="3"/>
        <v>0</v>
      </c>
      <c r="J117" s="39">
        <f t="shared" si="4"/>
        <v>0</v>
      </c>
      <c r="K117" s="39">
        <f t="shared" si="5"/>
        <v>0</v>
      </c>
      <c r="L117" s="39">
        <f t="shared" si="6"/>
        <v>0</v>
      </c>
      <c r="M117" s="39">
        <f t="shared" si="7"/>
        <v>0</v>
      </c>
      <c r="N117" s="39">
        <f t="shared" si="8"/>
        <v>0</v>
      </c>
      <c r="O117" s="36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 outlineLevel="1">
      <c r="A118" s="1"/>
      <c r="B118" s="1"/>
      <c r="C118" s="64"/>
      <c r="D118" s="38"/>
      <c r="E118" s="15"/>
      <c r="F118" s="39">
        <f t="shared" si="1"/>
        <v>0</v>
      </c>
      <c r="G118" s="17">
        <v>0.1</v>
      </c>
      <c r="H118" s="39">
        <f t="shared" si="2"/>
        <v>0</v>
      </c>
      <c r="I118" s="39">
        <f t="shared" si="3"/>
        <v>0</v>
      </c>
      <c r="J118" s="39">
        <f t="shared" si="4"/>
        <v>0</v>
      </c>
      <c r="K118" s="39">
        <f t="shared" si="5"/>
        <v>0</v>
      </c>
      <c r="L118" s="39">
        <f t="shared" si="6"/>
        <v>0</v>
      </c>
      <c r="M118" s="39">
        <f t="shared" si="7"/>
        <v>0</v>
      </c>
      <c r="N118" s="39">
        <f t="shared" si="8"/>
        <v>0</v>
      </c>
      <c r="O118" s="15" t="s">
        <v>36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 outlineLevel="1">
      <c r="A119" s="1"/>
      <c r="B119" s="1"/>
      <c r="C119" s="37"/>
      <c r="D119" s="38"/>
      <c r="E119" s="15"/>
      <c r="F119" s="39">
        <f t="shared" si="1"/>
        <v>0</v>
      </c>
      <c r="G119" s="40">
        <f t="shared" ref="G119:G126" si="21">G118</f>
        <v>0.1</v>
      </c>
      <c r="H119" s="39">
        <f t="shared" si="2"/>
        <v>0</v>
      </c>
      <c r="I119" s="39">
        <f t="shared" si="3"/>
        <v>0</v>
      </c>
      <c r="J119" s="39">
        <f t="shared" si="4"/>
        <v>0</v>
      </c>
      <c r="K119" s="39">
        <f t="shared" si="5"/>
        <v>0</v>
      </c>
      <c r="L119" s="39">
        <f t="shared" si="6"/>
        <v>0</v>
      </c>
      <c r="M119" s="39">
        <f t="shared" si="7"/>
        <v>0</v>
      </c>
      <c r="N119" s="39">
        <f t="shared" si="8"/>
        <v>0</v>
      </c>
      <c r="O119" s="15" t="s">
        <v>36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 outlineLevel="1">
      <c r="A120" s="1"/>
      <c r="B120" s="1"/>
      <c r="C120" s="37"/>
      <c r="D120" s="38"/>
      <c r="E120" s="15"/>
      <c r="F120" s="39">
        <f t="shared" si="1"/>
        <v>0</v>
      </c>
      <c r="G120" s="40">
        <f t="shared" si="21"/>
        <v>0.1</v>
      </c>
      <c r="H120" s="39">
        <f t="shared" si="2"/>
        <v>0</v>
      </c>
      <c r="I120" s="39">
        <f t="shared" si="3"/>
        <v>0</v>
      </c>
      <c r="J120" s="39">
        <f t="shared" si="4"/>
        <v>0</v>
      </c>
      <c r="K120" s="39">
        <f t="shared" si="5"/>
        <v>0</v>
      </c>
      <c r="L120" s="39">
        <f t="shared" si="6"/>
        <v>0</v>
      </c>
      <c r="M120" s="39">
        <f t="shared" si="7"/>
        <v>0</v>
      </c>
      <c r="N120" s="39">
        <f t="shared" si="8"/>
        <v>0</v>
      </c>
      <c r="O120" s="15" t="s">
        <v>36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 outlineLevel="1">
      <c r="A121" s="1"/>
      <c r="B121" s="1"/>
      <c r="C121" s="37"/>
      <c r="D121" s="38"/>
      <c r="E121" s="15"/>
      <c r="F121" s="39">
        <f t="shared" si="1"/>
        <v>0</v>
      </c>
      <c r="G121" s="40">
        <f t="shared" si="21"/>
        <v>0.1</v>
      </c>
      <c r="H121" s="39">
        <f t="shared" si="2"/>
        <v>0</v>
      </c>
      <c r="I121" s="39">
        <f t="shared" si="3"/>
        <v>0</v>
      </c>
      <c r="J121" s="39">
        <f t="shared" si="4"/>
        <v>0</v>
      </c>
      <c r="K121" s="39">
        <f t="shared" si="5"/>
        <v>0</v>
      </c>
      <c r="L121" s="39">
        <f t="shared" si="6"/>
        <v>0</v>
      </c>
      <c r="M121" s="39">
        <f t="shared" si="7"/>
        <v>0</v>
      </c>
      <c r="N121" s="39">
        <f t="shared" si="8"/>
        <v>0</v>
      </c>
      <c r="O121" s="15" t="s">
        <v>36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 outlineLevel="1">
      <c r="A122" s="1"/>
      <c r="B122" s="1"/>
      <c r="C122" s="37"/>
      <c r="D122" s="38"/>
      <c r="E122" s="15"/>
      <c r="F122" s="39">
        <f t="shared" si="1"/>
        <v>0</v>
      </c>
      <c r="G122" s="40">
        <f t="shared" si="21"/>
        <v>0.1</v>
      </c>
      <c r="H122" s="39">
        <f t="shared" si="2"/>
        <v>0</v>
      </c>
      <c r="I122" s="39">
        <f t="shared" si="3"/>
        <v>0</v>
      </c>
      <c r="J122" s="39">
        <f t="shared" si="4"/>
        <v>0</v>
      </c>
      <c r="K122" s="39">
        <f t="shared" si="5"/>
        <v>0</v>
      </c>
      <c r="L122" s="39">
        <v>0.0</v>
      </c>
      <c r="M122" s="39">
        <f t="shared" si="7"/>
        <v>0</v>
      </c>
      <c r="N122" s="39">
        <f t="shared" si="8"/>
        <v>0</v>
      </c>
      <c r="O122" s="15" t="s">
        <v>36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 outlineLevel="1">
      <c r="A123" s="1"/>
      <c r="B123" s="1"/>
      <c r="C123" s="37"/>
      <c r="D123" s="38"/>
      <c r="E123" s="15"/>
      <c r="F123" s="39">
        <f t="shared" si="1"/>
        <v>0</v>
      </c>
      <c r="G123" s="40">
        <f t="shared" si="21"/>
        <v>0.1</v>
      </c>
      <c r="H123" s="39">
        <f t="shared" si="2"/>
        <v>0</v>
      </c>
      <c r="I123" s="39">
        <f t="shared" si="3"/>
        <v>0</v>
      </c>
      <c r="J123" s="39">
        <f t="shared" si="4"/>
        <v>0</v>
      </c>
      <c r="K123" s="39">
        <f t="shared" si="5"/>
        <v>0</v>
      </c>
      <c r="L123" s="39">
        <f t="shared" ref="L123:L139" si="22">K123*$I$5</f>
        <v>0</v>
      </c>
      <c r="M123" s="39">
        <f t="shared" si="7"/>
        <v>0</v>
      </c>
      <c r="N123" s="39">
        <f t="shared" si="8"/>
        <v>0</v>
      </c>
      <c r="O123" s="15" t="s">
        <v>36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 outlineLevel="1">
      <c r="A124" s="1"/>
      <c r="B124" s="1"/>
      <c r="C124" s="37"/>
      <c r="D124" s="38"/>
      <c r="E124" s="15"/>
      <c r="F124" s="39">
        <f t="shared" si="1"/>
        <v>0</v>
      </c>
      <c r="G124" s="40">
        <f t="shared" si="21"/>
        <v>0.1</v>
      </c>
      <c r="H124" s="39">
        <f t="shared" si="2"/>
        <v>0</v>
      </c>
      <c r="I124" s="39">
        <f t="shared" si="3"/>
        <v>0</v>
      </c>
      <c r="J124" s="39">
        <f t="shared" si="4"/>
        <v>0</v>
      </c>
      <c r="K124" s="39">
        <f t="shared" si="5"/>
        <v>0</v>
      </c>
      <c r="L124" s="39">
        <f t="shared" si="22"/>
        <v>0</v>
      </c>
      <c r="M124" s="39">
        <f t="shared" si="7"/>
        <v>0</v>
      </c>
      <c r="N124" s="39">
        <f t="shared" si="8"/>
        <v>0</v>
      </c>
      <c r="O124" s="15" t="s">
        <v>36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 outlineLevel="1">
      <c r="A125" s="1"/>
      <c r="B125" s="1"/>
      <c r="C125" s="37"/>
      <c r="D125" s="38"/>
      <c r="E125" s="15"/>
      <c r="F125" s="39">
        <f t="shared" si="1"/>
        <v>0</v>
      </c>
      <c r="G125" s="40">
        <f t="shared" si="21"/>
        <v>0.1</v>
      </c>
      <c r="H125" s="39">
        <f t="shared" si="2"/>
        <v>0</v>
      </c>
      <c r="I125" s="39">
        <f t="shared" si="3"/>
        <v>0</v>
      </c>
      <c r="J125" s="39">
        <f t="shared" si="4"/>
        <v>0</v>
      </c>
      <c r="K125" s="39">
        <f t="shared" si="5"/>
        <v>0</v>
      </c>
      <c r="L125" s="39">
        <f t="shared" si="22"/>
        <v>0</v>
      </c>
      <c r="M125" s="39">
        <f t="shared" si="7"/>
        <v>0</v>
      </c>
      <c r="N125" s="39">
        <f t="shared" si="8"/>
        <v>0</v>
      </c>
      <c r="O125" s="15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 outlineLevel="1">
      <c r="A126" s="1"/>
      <c r="B126" s="1"/>
      <c r="C126" s="41"/>
      <c r="D126" s="38"/>
      <c r="E126" s="15"/>
      <c r="F126" s="39">
        <f t="shared" si="1"/>
        <v>0</v>
      </c>
      <c r="G126" s="40">
        <f t="shared" si="21"/>
        <v>0.1</v>
      </c>
      <c r="H126" s="39">
        <f t="shared" si="2"/>
        <v>0</v>
      </c>
      <c r="I126" s="39">
        <f t="shared" si="3"/>
        <v>0</v>
      </c>
      <c r="J126" s="39">
        <f t="shared" si="4"/>
        <v>0</v>
      </c>
      <c r="K126" s="39">
        <f t="shared" si="5"/>
        <v>0</v>
      </c>
      <c r="L126" s="39">
        <f t="shared" si="22"/>
        <v>0</v>
      </c>
      <c r="M126" s="39">
        <f t="shared" si="7"/>
        <v>0</v>
      </c>
      <c r="N126" s="39">
        <f t="shared" si="8"/>
        <v>0</v>
      </c>
      <c r="O126" s="15" t="s">
        <v>36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 outlineLevel="1">
      <c r="A127" s="1"/>
      <c r="B127" s="1"/>
      <c r="C127" s="37"/>
      <c r="D127" s="38"/>
      <c r="E127" s="15"/>
      <c r="F127" s="39">
        <f t="shared" si="1"/>
        <v>0</v>
      </c>
      <c r="G127" s="40">
        <f>G125</f>
        <v>0.1</v>
      </c>
      <c r="H127" s="39">
        <f t="shared" si="2"/>
        <v>0</v>
      </c>
      <c r="I127" s="39">
        <f t="shared" si="3"/>
        <v>0</v>
      </c>
      <c r="J127" s="39">
        <f t="shared" si="4"/>
        <v>0</v>
      </c>
      <c r="K127" s="39">
        <f t="shared" si="5"/>
        <v>0</v>
      </c>
      <c r="L127" s="39">
        <f t="shared" si="22"/>
        <v>0</v>
      </c>
      <c r="M127" s="39">
        <f t="shared" si="7"/>
        <v>0</v>
      </c>
      <c r="N127" s="39">
        <f t="shared" si="8"/>
        <v>0</v>
      </c>
      <c r="O127" s="15" t="s">
        <v>36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 outlineLevel="1">
      <c r="A128" s="1"/>
      <c r="B128" s="1"/>
      <c r="C128" s="41"/>
      <c r="D128" s="38"/>
      <c r="E128" s="15"/>
      <c r="F128" s="39">
        <f t="shared" si="1"/>
        <v>0</v>
      </c>
      <c r="G128" s="40">
        <f t="shared" ref="G128:G137" si="23">G127</f>
        <v>0.1</v>
      </c>
      <c r="H128" s="39">
        <f t="shared" si="2"/>
        <v>0</v>
      </c>
      <c r="I128" s="39">
        <f t="shared" si="3"/>
        <v>0</v>
      </c>
      <c r="J128" s="39">
        <f t="shared" si="4"/>
        <v>0</v>
      </c>
      <c r="K128" s="39">
        <f t="shared" si="5"/>
        <v>0</v>
      </c>
      <c r="L128" s="39">
        <f t="shared" si="22"/>
        <v>0</v>
      </c>
      <c r="M128" s="39">
        <f t="shared" si="7"/>
        <v>0</v>
      </c>
      <c r="N128" s="39">
        <f t="shared" si="8"/>
        <v>0</v>
      </c>
      <c r="O128" s="15" t="s">
        <v>36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 outlineLevel="1">
      <c r="A129" s="1"/>
      <c r="B129" s="1"/>
      <c r="C129" s="41"/>
      <c r="D129" s="38"/>
      <c r="E129" s="15"/>
      <c r="F129" s="39">
        <f t="shared" si="1"/>
        <v>0</v>
      </c>
      <c r="G129" s="40">
        <f t="shared" si="23"/>
        <v>0.1</v>
      </c>
      <c r="H129" s="39">
        <f t="shared" si="2"/>
        <v>0</v>
      </c>
      <c r="I129" s="39">
        <f t="shared" si="3"/>
        <v>0</v>
      </c>
      <c r="J129" s="39">
        <f t="shared" si="4"/>
        <v>0</v>
      </c>
      <c r="K129" s="39">
        <f t="shared" si="5"/>
        <v>0</v>
      </c>
      <c r="L129" s="39">
        <f t="shared" si="22"/>
        <v>0</v>
      </c>
      <c r="M129" s="39">
        <f t="shared" si="7"/>
        <v>0</v>
      </c>
      <c r="N129" s="39">
        <f t="shared" si="8"/>
        <v>0</v>
      </c>
      <c r="O129" s="15" t="s">
        <v>36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 outlineLevel="1">
      <c r="A130" s="1"/>
      <c r="B130" s="1"/>
      <c r="C130" s="37"/>
      <c r="D130" s="38"/>
      <c r="E130" s="15"/>
      <c r="F130" s="39">
        <f t="shared" si="1"/>
        <v>0</v>
      </c>
      <c r="G130" s="40">
        <f t="shared" si="23"/>
        <v>0.1</v>
      </c>
      <c r="H130" s="39">
        <f t="shared" si="2"/>
        <v>0</v>
      </c>
      <c r="I130" s="39">
        <f t="shared" si="3"/>
        <v>0</v>
      </c>
      <c r="J130" s="39">
        <f t="shared" si="4"/>
        <v>0</v>
      </c>
      <c r="K130" s="39">
        <f t="shared" si="5"/>
        <v>0</v>
      </c>
      <c r="L130" s="39">
        <f t="shared" si="22"/>
        <v>0</v>
      </c>
      <c r="M130" s="39">
        <f t="shared" si="7"/>
        <v>0</v>
      </c>
      <c r="N130" s="39">
        <f t="shared" si="8"/>
        <v>0</v>
      </c>
      <c r="O130" s="15" t="s">
        <v>36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 outlineLevel="1">
      <c r="A131" s="1"/>
      <c r="B131" s="1"/>
      <c r="C131" s="37"/>
      <c r="D131" s="38"/>
      <c r="E131" s="15"/>
      <c r="F131" s="39">
        <f t="shared" si="1"/>
        <v>0</v>
      </c>
      <c r="G131" s="40">
        <f t="shared" si="23"/>
        <v>0.1</v>
      </c>
      <c r="H131" s="39">
        <f t="shared" si="2"/>
        <v>0</v>
      </c>
      <c r="I131" s="39">
        <f t="shared" si="3"/>
        <v>0</v>
      </c>
      <c r="J131" s="39">
        <f t="shared" si="4"/>
        <v>0</v>
      </c>
      <c r="K131" s="39">
        <f t="shared" si="5"/>
        <v>0</v>
      </c>
      <c r="L131" s="39">
        <f t="shared" si="22"/>
        <v>0</v>
      </c>
      <c r="M131" s="39">
        <f t="shared" si="7"/>
        <v>0</v>
      </c>
      <c r="N131" s="39">
        <f t="shared" si="8"/>
        <v>0</v>
      </c>
      <c r="O131" s="15" t="s">
        <v>36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 outlineLevel="1">
      <c r="A132" s="1"/>
      <c r="B132" s="1"/>
      <c r="C132" s="37"/>
      <c r="D132" s="38"/>
      <c r="E132" s="15"/>
      <c r="F132" s="39">
        <f t="shared" si="1"/>
        <v>0</v>
      </c>
      <c r="G132" s="40">
        <f t="shared" si="23"/>
        <v>0.1</v>
      </c>
      <c r="H132" s="39">
        <f t="shared" si="2"/>
        <v>0</v>
      </c>
      <c r="I132" s="39">
        <f t="shared" si="3"/>
        <v>0</v>
      </c>
      <c r="J132" s="39">
        <f t="shared" si="4"/>
        <v>0</v>
      </c>
      <c r="K132" s="39">
        <f t="shared" si="5"/>
        <v>0</v>
      </c>
      <c r="L132" s="39">
        <f t="shared" si="22"/>
        <v>0</v>
      </c>
      <c r="M132" s="39">
        <f t="shared" si="7"/>
        <v>0</v>
      </c>
      <c r="N132" s="39">
        <f t="shared" si="8"/>
        <v>0</v>
      </c>
      <c r="O132" s="15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 outlineLevel="1">
      <c r="A133" s="1"/>
      <c r="B133" s="1"/>
      <c r="C133" s="41"/>
      <c r="D133" s="38"/>
      <c r="E133" s="15"/>
      <c r="F133" s="39">
        <f t="shared" si="1"/>
        <v>0</v>
      </c>
      <c r="G133" s="40">
        <f t="shared" si="23"/>
        <v>0.1</v>
      </c>
      <c r="H133" s="39">
        <f t="shared" si="2"/>
        <v>0</v>
      </c>
      <c r="I133" s="39">
        <f t="shared" si="3"/>
        <v>0</v>
      </c>
      <c r="J133" s="39">
        <f t="shared" si="4"/>
        <v>0</v>
      </c>
      <c r="K133" s="39">
        <f t="shared" si="5"/>
        <v>0</v>
      </c>
      <c r="L133" s="39">
        <f t="shared" si="22"/>
        <v>0</v>
      </c>
      <c r="M133" s="39">
        <f t="shared" si="7"/>
        <v>0</v>
      </c>
      <c r="N133" s="39">
        <f t="shared" si="8"/>
        <v>0</v>
      </c>
      <c r="O133" s="15" t="s">
        <v>36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 outlineLevel="1">
      <c r="A134" s="1"/>
      <c r="B134" s="1"/>
      <c r="C134" s="41"/>
      <c r="D134" s="38"/>
      <c r="E134" s="15"/>
      <c r="F134" s="39">
        <f t="shared" si="1"/>
        <v>0</v>
      </c>
      <c r="G134" s="40">
        <f t="shared" si="23"/>
        <v>0.1</v>
      </c>
      <c r="H134" s="39">
        <f t="shared" si="2"/>
        <v>0</v>
      </c>
      <c r="I134" s="39">
        <f t="shared" si="3"/>
        <v>0</v>
      </c>
      <c r="J134" s="39">
        <f t="shared" si="4"/>
        <v>0</v>
      </c>
      <c r="K134" s="39">
        <f t="shared" si="5"/>
        <v>0</v>
      </c>
      <c r="L134" s="39">
        <f t="shared" si="22"/>
        <v>0</v>
      </c>
      <c r="M134" s="39">
        <f t="shared" si="7"/>
        <v>0</v>
      </c>
      <c r="N134" s="39">
        <f t="shared" si="8"/>
        <v>0</v>
      </c>
      <c r="O134" s="15" t="s">
        <v>36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 outlineLevel="1">
      <c r="A135" s="1"/>
      <c r="B135" s="1"/>
      <c r="C135" s="37"/>
      <c r="D135" s="38"/>
      <c r="E135" s="15"/>
      <c r="F135" s="39">
        <f t="shared" si="1"/>
        <v>0</v>
      </c>
      <c r="G135" s="40">
        <f t="shared" si="23"/>
        <v>0.1</v>
      </c>
      <c r="H135" s="39">
        <f t="shared" si="2"/>
        <v>0</v>
      </c>
      <c r="I135" s="39">
        <f t="shared" si="3"/>
        <v>0</v>
      </c>
      <c r="J135" s="39">
        <f t="shared" si="4"/>
        <v>0</v>
      </c>
      <c r="K135" s="39">
        <f t="shared" si="5"/>
        <v>0</v>
      </c>
      <c r="L135" s="39">
        <f t="shared" si="22"/>
        <v>0</v>
      </c>
      <c r="M135" s="39">
        <f t="shared" si="7"/>
        <v>0</v>
      </c>
      <c r="N135" s="39">
        <f t="shared" si="8"/>
        <v>0</v>
      </c>
      <c r="O135" s="15" t="s">
        <v>36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 outlineLevel="1">
      <c r="A136" s="1"/>
      <c r="B136" s="1"/>
      <c r="C136" s="69"/>
      <c r="D136" s="38"/>
      <c r="E136" s="15"/>
      <c r="F136" s="39">
        <f t="shared" si="1"/>
        <v>0</v>
      </c>
      <c r="G136" s="40">
        <f t="shared" si="23"/>
        <v>0.1</v>
      </c>
      <c r="H136" s="39">
        <f t="shared" si="2"/>
        <v>0</v>
      </c>
      <c r="I136" s="39">
        <f t="shared" si="3"/>
        <v>0</v>
      </c>
      <c r="J136" s="39">
        <f t="shared" si="4"/>
        <v>0</v>
      </c>
      <c r="K136" s="39">
        <f t="shared" si="5"/>
        <v>0</v>
      </c>
      <c r="L136" s="39">
        <f t="shared" si="22"/>
        <v>0</v>
      </c>
      <c r="M136" s="39">
        <f t="shared" si="7"/>
        <v>0</v>
      </c>
      <c r="N136" s="39"/>
      <c r="O136" s="15" t="s">
        <v>36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 outlineLevel="1">
      <c r="A137" s="1"/>
      <c r="B137" s="1"/>
      <c r="C137" s="37"/>
      <c r="D137" s="38"/>
      <c r="E137" s="15">
        <v>0.0</v>
      </c>
      <c r="F137" s="39">
        <f t="shared" si="1"/>
        <v>0</v>
      </c>
      <c r="G137" s="40">
        <f t="shared" si="23"/>
        <v>0.1</v>
      </c>
      <c r="H137" s="39">
        <f t="shared" si="2"/>
        <v>0</v>
      </c>
      <c r="I137" s="39">
        <f t="shared" si="3"/>
        <v>0</v>
      </c>
      <c r="J137" s="39">
        <f t="shared" si="4"/>
        <v>0</v>
      </c>
      <c r="K137" s="39">
        <f t="shared" si="5"/>
        <v>0</v>
      </c>
      <c r="L137" s="39">
        <f t="shared" si="22"/>
        <v>0</v>
      </c>
      <c r="M137" s="39">
        <f t="shared" si="7"/>
        <v>0</v>
      </c>
      <c r="N137" s="39">
        <f t="shared" ref="N137:N139" si="24">M137-L137-F137</f>
        <v>0</v>
      </c>
      <c r="O137" s="15" t="s">
        <v>36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1"/>
      <c r="B138" s="1"/>
      <c r="C138" s="25"/>
      <c r="D138" s="26">
        <v>0.0</v>
      </c>
      <c r="E138" s="2">
        <v>0.0</v>
      </c>
      <c r="F138" s="36"/>
      <c r="G138" s="36"/>
      <c r="H138" s="39">
        <f t="shared" si="2"/>
        <v>0</v>
      </c>
      <c r="I138" s="39">
        <f t="shared" si="3"/>
        <v>0</v>
      </c>
      <c r="J138" s="39">
        <f t="shared" si="4"/>
        <v>0</v>
      </c>
      <c r="K138" s="39">
        <f t="shared" si="5"/>
        <v>0</v>
      </c>
      <c r="L138" s="39">
        <f t="shared" si="22"/>
        <v>0</v>
      </c>
      <c r="M138" s="39">
        <f t="shared" si="7"/>
        <v>0</v>
      </c>
      <c r="N138" s="39">
        <f t="shared" si="24"/>
        <v>0</v>
      </c>
      <c r="O138" s="36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7"/>
      <c r="B139" s="28"/>
      <c r="C139" s="29" t="s">
        <v>40</v>
      </c>
      <c r="D139" s="70"/>
      <c r="E139" s="70"/>
      <c r="F139" s="70"/>
      <c r="G139" s="70"/>
      <c r="H139" s="39">
        <f t="shared" si="2"/>
        <v>0</v>
      </c>
      <c r="I139" s="39">
        <f t="shared" si="3"/>
        <v>0</v>
      </c>
      <c r="J139" s="39">
        <f t="shared" si="4"/>
        <v>0</v>
      </c>
      <c r="K139" s="39">
        <f t="shared" si="5"/>
        <v>0</v>
      </c>
      <c r="L139" s="39">
        <f t="shared" si="22"/>
        <v>0</v>
      </c>
      <c r="M139" s="39">
        <f t="shared" si="7"/>
        <v>0</v>
      </c>
      <c r="N139" s="39">
        <f t="shared" si="24"/>
        <v>0</v>
      </c>
      <c r="O139" s="3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7"/>
      <c r="B140" s="28"/>
      <c r="C140" s="29"/>
      <c r="D140" s="30"/>
      <c r="E140" s="31"/>
      <c r="F140" s="71"/>
      <c r="G140" s="53"/>
      <c r="H140" s="71"/>
      <c r="I140" s="71"/>
      <c r="J140" s="39"/>
      <c r="K140" s="71"/>
      <c r="L140" s="71"/>
      <c r="M140" s="71"/>
      <c r="N140" s="71"/>
      <c r="O140" s="3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7"/>
      <c r="B141" s="28"/>
      <c r="C141" s="72" t="s">
        <v>41</v>
      </c>
      <c r="D141" s="73">
        <f>SUM(D66:D140)</f>
        <v>0</v>
      </c>
      <c r="E141" s="74"/>
      <c r="F141" s="74">
        <f>SUM(F20:F140)</f>
        <v>0</v>
      </c>
      <c r="G141" s="74"/>
      <c r="H141" s="74"/>
      <c r="I141" s="74">
        <f t="shared" ref="I141:J141" si="25">SUM(I20:I140)</f>
        <v>0</v>
      </c>
      <c r="J141" s="74">
        <f t="shared" si="25"/>
        <v>0</v>
      </c>
      <c r="K141" s="74">
        <f>SUM(K21:K140)</f>
        <v>0</v>
      </c>
      <c r="L141" s="74">
        <f t="shared" ref="L141:N141" si="26">SUM(L20:L140)</f>
        <v>0</v>
      </c>
      <c r="M141" s="74">
        <f t="shared" si="26"/>
        <v>0</v>
      </c>
      <c r="N141" s="74">
        <f t="shared" si="26"/>
        <v>0</v>
      </c>
      <c r="O141" s="7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1"/>
      <c r="B142" s="1"/>
      <c r="C142" s="2"/>
      <c r="D142" s="75"/>
      <c r="E142" s="2"/>
      <c r="F142" s="76"/>
      <c r="G142" s="76"/>
      <c r="H142" s="76"/>
      <c r="I142" s="76"/>
      <c r="J142" s="76"/>
      <c r="K142" s="76"/>
      <c r="L142" s="77" t="s">
        <v>42</v>
      </c>
      <c r="M142" s="78">
        <v>0.0</v>
      </c>
      <c r="N142" s="2"/>
      <c r="O142" s="76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1"/>
      <c r="B143" s="1"/>
      <c r="C143" s="2"/>
      <c r="D143" s="2"/>
      <c r="E143" s="2"/>
      <c r="F143" s="36"/>
      <c r="G143" s="36"/>
      <c r="H143" s="36"/>
      <c r="I143" s="36"/>
      <c r="J143" s="36"/>
      <c r="K143" s="36"/>
      <c r="L143" s="32" t="s">
        <v>43</v>
      </c>
      <c r="M143" s="78">
        <v>0.0</v>
      </c>
      <c r="N143" s="39"/>
      <c r="O143" s="36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1"/>
      <c r="B144" s="1"/>
      <c r="C144" s="79" t="s">
        <v>44</v>
      </c>
      <c r="D144" s="80">
        <f>$M$141</f>
        <v>0</v>
      </c>
      <c r="E144" s="2"/>
      <c r="F144" s="36"/>
      <c r="G144" s="36"/>
      <c r="H144" s="36"/>
      <c r="I144" s="36"/>
      <c r="J144" s="36"/>
      <c r="K144" s="36"/>
      <c r="L144" s="32" t="s">
        <v>45</v>
      </c>
      <c r="M144" s="81">
        <v>0.0</v>
      </c>
      <c r="N144" s="36"/>
      <c r="O144" s="36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1"/>
      <c r="B145" s="1"/>
      <c r="C145" s="82" t="s">
        <v>46</v>
      </c>
      <c r="D145" s="83">
        <f>$N$141</f>
        <v>0</v>
      </c>
      <c r="E145" s="2"/>
      <c r="F145" s="36"/>
      <c r="G145" s="36"/>
      <c r="H145" s="36"/>
      <c r="I145" s="36"/>
      <c r="J145" s="36"/>
      <c r="K145" s="32"/>
      <c r="L145" s="32"/>
      <c r="M145" s="32"/>
      <c r="N145" s="39"/>
      <c r="O145" s="36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1"/>
      <c r="B146" s="1"/>
      <c r="C146" s="82" t="s">
        <v>47</v>
      </c>
      <c r="D146" s="83" t="str">
        <f>D145/$I$7</f>
        <v>#DIV/0!</v>
      </c>
      <c r="E146" s="2"/>
      <c r="F146" s="36"/>
      <c r="G146" s="36"/>
      <c r="H146" s="36"/>
      <c r="I146" s="36"/>
      <c r="J146" s="36"/>
      <c r="K146" s="36"/>
      <c r="L146" s="36"/>
      <c r="M146" s="36"/>
      <c r="N146" s="39"/>
      <c r="O146" s="36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1"/>
      <c r="B147" s="1"/>
      <c r="C147" s="84" t="s">
        <v>48</v>
      </c>
      <c r="D147" s="85" t="str">
        <f>D145/D144</f>
        <v>#DIV/0!</v>
      </c>
      <c r="E147" s="2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1"/>
      <c r="B148" s="1"/>
      <c r="C148" s="25"/>
      <c r="D148" s="26"/>
      <c r="E148" s="2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1"/>
      <c r="B149" s="1"/>
      <c r="C149" s="25"/>
      <c r="D149" s="26"/>
      <c r="E149" s="2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1"/>
      <c r="B150" s="1"/>
      <c r="C150" s="25"/>
      <c r="D150" s="26"/>
      <c r="E150" s="2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1"/>
      <c r="B151" s="1"/>
      <c r="C151" s="25"/>
      <c r="D151" s="26"/>
      <c r="E151" s="2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1"/>
      <c r="B152" s="1"/>
      <c r="C152" s="25"/>
      <c r="D152" s="26"/>
      <c r="E152" s="2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86"/>
      <c r="B153" s="86"/>
      <c r="C153" s="87" t="s">
        <v>49</v>
      </c>
      <c r="D153" s="87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1"/>
      <c r="B154" s="1"/>
      <c r="C154" s="25"/>
      <c r="D154" s="26"/>
      <c r="E154" s="2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 outlineLevel="1">
      <c r="A155" s="1"/>
      <c r="B155" s="1"/>
      <c r="C155" s="89" t="s">
        <v>49</v>
      </c>
      <c r="D155" s="90" t="str">
        <f>D6</f>
        <v/>
      </c>
      <c r="E155" s="90">
        <f>EOMONTH(D155,0)</f>
        <v>1</v>
      </c>
      <c r="F155" s="90">
        <f t="shared" ref="F155:I155" si="27">EOMONTH(E155,1)</f>
        <v>32</v>
      </c>
      <c r="G155" s="90">
        <f t="shared" si="27"/>
        <v>60</v>
      </c>
      <c r="H155" s="90">
        <f t="shared" si="27"/>
        <v>91</v>
      </c>
      <c r="I155" s="90">
        <f t="shared" si="27"/>
        <v>121</v>
      </c>
      <c r="J155" s="91">
        <v>45012.0</v>
      </c>
      <c r="K155" s="90">
        <f t="shared" ref="K155:N155" si="28">EOMONTH(J155,1)</f>
        <v>45046</v>
      </c>
      <c r="L155" s="90">
        <f t="shared" si="28"/>
        <v>45077</v>
      </c>
      <c r="M155" s="90">
        <f t="shared" si="28"/>
        <v>45107</v>
      </c>
      <c r="N155" s="90">
        <f t="shared" si="28"/>
        <v>45138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 outlineLevel="1">
      <c r="A156" s="1"/>
      <c r="B156" s="1"/>
      <c r="C156" s="25"/>
      <c r="D156" s="26"/>
      <c r="E156" s="2"/>
      <c r="F156" s="36"/>
      <c r="G156" s="36"/>
      <c r="H156" s="36"/>
      <c r="I156" s="36"/>
      <c r="J156" s="36"/>
      <c r="K156" s="36"/>
      <c r="L156" s="36"/>
      <c r="M156" s="36"/>
      <c r="N156" s="3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 outlineLevel="1">
      <c r="A157" s="1"/>
      <c r="B157" s="1"/>
      <c r="C157" s="25" t="s">
        <v>50</v>
      </c>
      <c r="D157" s="17">
        <v>0.0</v>
      </c>
      <c r="E157" s="17">
        <v>0.063</v>
      </c>
      <c r="F157" s="17">
        <v>0.049</v>
      </c>
      <c r="G157" s="17">
        <v>0.051</v>
      </c>
      <c r="H157" s="17">
        <v>0.06</v>
      </c>
      <c r="I157" s="17">
        <v>0.066</v>
      </c>
      <c r="J157" s="17">
        <v>0.066</v>
      </c>
      <c r="K157" s="17">
        <v>0.0</v>
      </c>
      <c r="L157" s="17">
        <v>0.0</v>
      </c>
      <c r="M157" s="17">
        <v>0.0</v>
      </c>
      <c r="N157" s="17">
        <v>0.0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 outlineLevel="1">
      <c r="A158" s="1"/>
      <c r="B158" s="1"/>
      <c r="C158" s="25" t="s">
        <v>51</v>
      </c>
      <c r="D158" s="42" t="s">
        <v>52</v>
      </c>
      <c r="E158" s="35" t="str">
        <f t="shared" ref="E158:N158" si="29">EOMONTH(E155,0)-EOMONTH(E155,-1)</f>
        <v>#NUM!</v>
      </c>
      <c r="F158" s="35">
        <f t="shared" si="29"/>
        <v>31</v>
      </c>
      <c r="G158" s="35">
        <f t="shared" si="29"/>
        <v>28</v>
      </c>
      <c r="H158" s="35">
        <f t="shared" si="29"/>
        <v>31</v>
      </c>
      <c r="I158" s="35">
        <f t="shared" si="29"/>
        <v>30</v>
      </c>
      <c r="J158" s="35">
        <f t="shared" si="29"/>
        <v>31</v>
      </c>
      <c r="K158" s="35">
        <f t="shared" si="29"/>
        <v>30</v>
      </c>
      <c r="L158" s="35">
        <f t="shared" si="29"/>
        <v>31</v>
      </c>
      <c r="M158" s="35">
        <f t="shared" si="29"/>
        <v>30</v>
      </c>
      <c r="N158" s="35">
        <f t="shared" si="29"/>
        <v>31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 outlineLevel="1">
      <c r="A159" s="1"/>
      <c r="B159" s="1"/>
      <c r="C159" s="25" t="s">
        <v>53</v>
      </c>
      <c r="D159" s="42" t="s">
        <v>52</v>
      </c>
      <c r="E159" s="35">
        <f t="shared" ref="E159:N159" si="30">E155-D155</f>
        <v>1</v>
      </c>
      <c r="F159" s="35">
        <f t="shared" si="30"/>
        <v>31</v>
      </c>
      <c r="G159" s="35">
        <f t="shared" si="30"/>
        <v>28</v>
      </c>
      <c r="H159" s="35">
        <f t="shared" si="30"/>
        <v>31</v>
      </c>
      <c r="I159" s="35">
        <f t="shared" si="30"/>
        <v>30</v>
      </c>
      <c r="J159" s="35">
        <f t="shared" si="30"/>
        <v>44891</v>
      </c>
      <c r="K159" s="35">
        <f t="shared" si="30"/>
        <v>34</v>
      </c>
      <c r="L159" s="35">
        <f t="shared" si="30"/>
        <v>31</v>
      </c>
      <c r="M159" s="35">
        <f t="shared" si="30"/>
        <v>30</v>
      </c>
      <c r="N159" s="35">
        <f t="shared" si="30"/>
        <v>31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 outlineLevel="1">
      <c r="A160" s="1"/>
      <c r="B160" s="1"/>
      <c r="C160" s="25" t="s">
        <v>54</v>
      </c>
      <c r="D160" s="42" t="s">
        <v>52</v>
      </c>
      <c r="E160" s="42" t="str">
        <f t="shared" ref="E160:N160" si="31">E157*E159/E158</f>
        <v>#NUM!</v>
      </c>
      <c r="F160" s="42">
        <f t="shared" si="31"/>
        <v>0.049</v>
      </c>
      <c r="G160" s="42">
        <f t="shared" si="31"/>
        <v>0.051</v>
      </c>
      <c r="H160" s="42">
        <f t="shared" si="31"/>
        <v>0.06</v>
      </c>
      <c r="I160" s="42">
        <f t="shared" si="31"/>
        <v>0.066</v>
      </c>
      <c r="J160" s="42">
        <f t="shared" si="31"/>
        <v>95.5743871</v>
      </c>
      <c r="K160" s="42">
        <f t="shared" si="31"/>
        <v>0</v>
      </c>
      <c r="L160" s="42">
        <f t="shared" si="31"/>
        <v>0</v>
      </c>
      <c r="M160" s="42">
        <f t="shared" si="31"/>
        <v>0</v>
      </c>
      <c r="N160" s="42">
        <f t="shared" si="31"/>
        <v>0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 outlineLevel="1">
      <c r="A161" s="1"/>
      <c r="B161" s="1"/>
      <c r="C161" s="25" t="s">
        <v>27</v>
      </c>
      <c r="D161" s="39">
        <f>$M$141</f>
        <v>0</v>
      </c>
      <c r="E161" s="92"/>
      <c r="F161" s="93"/>
      <c r="G161" s="93"/>
      <c r="H161" s="93"/>
      <c r="I161" s="93"/>
      <c r="J161" s="93"/>
      <c r="K161" s="93"/>
      <c r="L161" s="93"/>
      <c r="M161" s="93"/>
      <c r="N161" s="93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 outlineLevel="1">
      <c r="A162" s="1"/>
      <c r="B162" s="1"/>
      <c r="C162" s="25" t="s">
        <v>55</v>
      </c>
      <c r="D162" s="39">
        <f>-$I$8*D161</f>
        <v>0</v>
      </c>
      <c r="E162" s="92"/>
      <c r="F162" s="93"/>
      <c r="G162" s="93"/>
      <c r="H162" s="93"/>
      <c r="I162" s="93"/>
      <c r="J162" s="93"/>
      <c r="K162" s="93"/>
      <c r="L162" s="93"/>
      <c r="M162" s="93"/>
      <c r="N162" s="93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 outlineLevel="1">
      <c r="A163" s="1"/>
      <c r="B163" s="1"/>
      <c r="C163" s="94" t="s">
        <v>56</v>
      </c>
      <c r="D163" s="95">
        <f>SUM(D161:D162)</f>
        <v>0</v>
      </c>
      <c r="E163" s="95" t="str">
        <f t="shared" ref="E163:N163" si="32">IF(E157&gt;0,D163*(1+E160),0)</f>
        <v>#NUM!</v>
      </c>
      <c r="F163" s="95" t="str">
        <f t="shared" si="32"/>
        <v>#NUM!</v>
      </c>
      <c r="G163" s="95" t="str">
        <f t="shared" si="32"/>
        <v>#NUM!</v>
      </c>
      <c r="H163" s="95" t="str">
        <f t="shared" si="32"/>
        <v>#NUM!</v>
      </c>
      <c r="I163" s="95" t="str">
        <f t="shared" si="32"/>
        <v>#NUM!</v>
      </c>
      <c r="J163" s="95" t="str">
        <f t="shared" si="32"/>
        <v>#NUM!</v>
      </c>
      <c r="K163" s="95">
        <f t="shared" si="32"/>
        <v>0</v>
      </c>
      <c r="L163" s="95">
        <f t="shared" si="32"/>
        <v>0</v>
      </c>
      <c r="M163" s="95">
        <f t="shared" si="32"/>
        <v>0</v>
      </c>
      <c r="N163" s="95">
        <f t="shared" si="32"/>
        <v>0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1"/>
      <c r="B164" s="1"/>
      <c r="C164" s="25"/>
      <c r="D164" s="34"/>
      <c r="E164" s="2"/>
      <c r="F164" s="36"/>
      <c r="G164" s="36"/>
      <c r="H164" s="36"/>
      <c r="I164" s="36"/>
      <c r="J164" s="36"/>
      <c r="K164" s="36"/>
      <c r="L164" s="36"/>
      <c r="M164" s="36"/>
      <c r="N164" s="3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1"/>
      <c r="B165" s="1"/>
      <c r="C165" s="25"/>
      <c r="D165" s="34"/>
      <c r="E165" s="2"/>
      <c r="F165" s="36"/>
      <c r="G165" s="36"/>
      <c r="H165" s="36"/>
      <c r="I165" s="36"/>
      <c r="J165" s="36"/>
      <c r="K165" s="36"/>
      <c r="L165" s="36"/>
      <c r="M165" s="36"/>
      <c r="N165" s="3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86"/>
      <c r="B167" s="86"/>
      <c r="C167" s="87" t="s">
        <v>57</v>
      </c>
      <c r="D167" s="87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1"/>
      <c r="B168" s="1"/>
      <c r="C168" s="25"/>
      <c r="D168" s="26"/>
      <c r="E168" s="2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 outlineLevel="1">
      <c r="A169" s="1"/>
      <c r="B169" s="1"/>
      <c r="C169" s="89" t="s">
        <v>57</v>
      </c>
      <c r="D169" s="90" t="s">
        <v>34</v>
      </c>
      <c r="E169" s="90" t="s">
        <v>35</v>
      </c>
      <c r="F169" s="90" t="s">
        <v>38</v>
      </c>
      <c r="G169" s="90" t="s">
        <v>36</v>
      </c>
      <c r="H169" s="90" t="s">
        <v>41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4.5" customHeight="1" outlineLevel="1">
      <c r="A170" s="1"/>
      <c r="B170" s="1"/>
      <c r="C170" s="25"/>
      <c r="D170" s="26"/>
      <c r="E170" s="26"/>
      <c r="F170" s="2"/>
      <c r="G170" s="39"/>
      <c r="H170" s="42"/>
      <c r="I170" s="39"/>
      <c r="J170" s="39"/>
      <c r="K170" s="39"/>
      <c r="L170" s="39"/>
      <c r="M170" s="39"/>
      <c r="N170" s="39"/>
      <c r="O170" s="26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 outlineLevel="1">
      <c r="A171" s="1"/>
      <c r="B171" s="1"/>
      <c r="C171" s="25" t="s">
        <v>58</v>
      </c>
      <c r="D171" s="39">
        <f t="shared" ref="D171:G171" si="33">SUMIF($O$20:$O$138,D$169,$M$20:$M$138)</f>
        <v>0</v>
      </c>
      <c r="E171" s="39">
        <f t="shared" si="33"/>
        <v>0</v>
      </c>
      <c r="F171" s="39">
        <f t="shared" si="33"/>
        <v>0</v>
      </c>
      <c r="G171" s="39">
        <f t="shared" si="33"/>
        <v>0</v>
      </c>
      <c r="H171" s="96">
        <f t="shared" ref="H171:H173" si="35">SUM(D171:G171)</f>
        <v>0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 outlineLevel="1">
      <c r="A172" s="1"/>
      <c r="B172" s="1"/>
      <c r="C172" s="25" t="s">
        <v>59</v>
      </c>
      <c r="D172" s="39">
        <f t="shared" ref="D172:G172" si="34">-SUMIF($O$20:$O$138,D$169,$F$20:$F$138)</f>
        <v>0</v>
      </c>
      <c r="E172" s="39">
        <f t="shared" si="34"/>
        <v>0</v>
      </c>
      <c r="F172" s="39">
        <f t="shared" si="34"/>
        <v>0</v>
      </c>
      <c r="G172" s="39">
        <f t="shared" si="34"/>
        <v>0</v>
      </c>
      <c r="H172" s="96">
        <f t="shared" si="35"/>
        <v>0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 outlineLevel="1">
      <c r="A173" s="1"/>
      <c r="B173" s="1"/>
      <c r="C173" s="25" t="s">
        <v>3</v>
      </c>
      <c r="D173" s="39">
        <f t="shared" ref="D173:G173" si="36">-SUMIF($O$20:$O$138,D$169,$L$20:$L$138)</f>
        <v>0</v>
      </c>
      <c r="E173" s="39">
        <f t="shared" si="36"/>
        <v>0</v>
      </c>
      <c r="F173" s="39">
        <f t="shared" si="36"/>
        <v>0</v>
      </c>
      <c r="G173" s="39">
        <f t="shared" si="36"/>
        <v>0</v>
      </c>
      <c r="H173" s="96">
        <f t="shared" si="35"/>
        <v>0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 outlineLevel="1">
      <c r="A174" s="1"/>
      <c r="B174" s="1"/>
      <c r="C174" s="94" t="s">
        <v>41</v>
      </c>
      <c r="D174" s="95">
        <f t="shared" ref="D174:H174" si="37">SUM(D171:D173)</f>
        <v>0</v>
      </c>
      <c r="E174" s="95">
        <f t="shared" si="37"/>
        <v>0</v>
      </c>
      <c r="F174" s="95">
        <f t="shared" si="37"/>
        <v>0</v>
      </c>
      <c r="G174" s="95">
        <f t="shared" si="37"/>
        <v>0</v>
      </c>
      <c r="H174" s="95">
        <f t="shared" si="37"/>
        <v>0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 outlineLevel="1">
      <c r="A175" s="1"/>
      <c r="B175" s="1"/>
      <c r="C175" s="97" t="s">
        <v>48</v>
      </c>
      <c r="D175" s="98">
        <f t="shared" ref="D175:H175" si="38">IFERROR(D174/D171,0)</f>
        <v>0</v>
      </c>
      <c r="E175" s="98">
        <f t="shared" si="38"/>
        <v>0</v>
      </c>
      <c r="F175" s="98">
        <f t="shared" si="38"/>
        <v>0</v>
      </c>
      <c r="G175" s="98">
        <f t="shared" si="38"/>
        <v>0</v>
      </c>
      <c r="H175" s="98">
        <f t="shared" si="38"/>
        <v>0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 outlineLevel="1">
      <c r="A176" s="1"/>
      <c r="B176" s="1"/>
      <c r="C176" s="2"/>
      <c r="D176" s="2"/>
      <c r="E176" s="2"/>
      <c r="F176" s="2"/>
      <c r="G176" s="99" t="s">
        <v>60</v>
      </c>
      <c r="H176" s="100">
        <f>H174-N141</f>
        <v>0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1"/>
      <c r="B177" s="1"/>
      <c r="C177" s="2"/>
      <c r="D177" s="101"/>
      <c r="E177" s="102"/>
      <c r="F177" s="103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1"/>
      <c r="B178" s="1"/>
      <c r="C178" s="2"/>
      <c r="D178" s="101"/>
      <c r="E178" s="102"/>
      <c r="F178" s="103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1"/>
      <c r="B179" s="1"/>
      <c r="C179" s="2"/>
      <c r="D179" s="101"/>
      <c r="E179" s="102"/>
      <c r="F179" s="103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1"/>
      <c r="B180" s="1"/>
      <c r="C180" s="2"/>
      <c r="D180" s="101"/>
      <c r="E180" s="102"/>
      <c r="F180" s="103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1"/>
      <c r="B181" s="1"/>
      <c r="C181" s="2"/>
      <c r="D181" s="101"/>
      <c r="E181" s="102"/>
      <c r="F181" s="103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1"/>
      <c r="B182" s="1"/>
      <c r="C182" s="2"/>
      <c r="D182" s="104"/>
      <c r="E182" s="105"/>
      <c r="F182" s="106" t="s">
        <v>41</v>
      </c>
      <c r="G182" s="107" t="s">
        <v>61</v>
      </c>
      <c r="H182" s="108"/>
      <c r="I182" s="108"/>
      <c r="J182" s="102"/>
      <c r="K182" s="102"/>
      <c r="L182" s="102"/>
      <c r="M182" s="102"/>
      <c r="N182" s="102"/>
      <c r="O182" s="102"/>
      <c r="P182" s="102"/>
      <c r="Q182" s="10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1"/>
      <c r="B183" s="1"/>
      <c r="C183" s="2"/>
      <c r="D183" s="109" t="s">
        <v>62</v>
      </c>
      <c r="E183" s="110"/>
      <c r="F183" s="111">
        <v>0.0</v>
      </c>
      <c r="G183" s="111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1"/>
      <c r="B184" s="1"/>
      <c r="C184" s="2"/>
      <c r="D184" s="109" t="s">
        <v>63</v>
      </c>
      <c r="E184" s="110"/>
      <c r="F184" s="111">
        <v>0.0</v>
      </c>
      <c r="G184" s="111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1"/>
      <c r="B185" s="1"/>
      <c r="C185" s="2"/>
      <c r="D185" s="109" t="s">
        <v>56</v>
      </c>
      <c r="E185" s="110"/>
      <c r="F185" s="111">
        <f>F183-F184</f>
        <v>0</v>
      </c>
      <c r="G185" s="111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1"/>
      <c r="B186" s="1"/>
      <c r="C186" s="2"/>
      <c r="D186" s="101"/>
      <c r="E186" s="102"/>
      <c r="F186" s="103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1"/>
      <c r="B187" s="1"/>
      <c r="C187" s="112"/>
      <c r="D187" s="113" t="s">
        <v>64</v>
      </c>
      <c r="E187" s="114" t="s">
        <v>41</v>
      </c>
      <c r="F187" s="115" t="s">
        <v>65</v>
      </c>
      <c r="G187" s="116" t="s">
        <v>66</v>
      </c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1"/>
      <c r="B188" s="1"/>
      <c r="C188" s="112"/>
      <c r="D188" s="117" t="s">
        <v>67</v>
      </c>
      <c r="E188" s="118">
        <v>0.0</v>
      </c>
      <c r="F188" s="118">
        <v>0.0</v>
      </c>
      <c r="G188" s="119">
        <f t="shared" ref="G188:G210" si="39">E188-F188</f>
        <v>0</v>
      </c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1"/>
      <c r="B189" s="1"/>
      <c r="C189" s="112"/>
      <c r="D189" s="117" t="s">
        <v>68</v>
      </c>
      <c r="E189" s="118">
        <v>0.0</v>
      </c>
      <c r="F189" s="118">
        <v>0.0</v>
      </c>
      <c r="G189" s="119">
        <f t="shared" si="39"/>
        <v>0</v>
      </c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1"/>
      <c r="B190" s="1"/>
      <c r="C190" s="112"/>
      <c r="D190" s="117" t="s">
        <v>69</v>
      </c>
      <c r="E190" s="118">
        <v>0.0</v>
      </c>
      <c r="F190" s="118">
        <v>0.0</v>
      </c>
      <c r="G190" s="119">
        <f t="shared" si="39"/>
        <v>0</v>
      </c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1"/>
      <c r="B191" s="1"/>
      <c r="C191" s="112"/>
      <c r="D191" s="117" t="s">
        <v>70</v>
      </c>
      <c r="E191" s="118">
        <v>0.0</v>
      </c>
      <c r="F191" s="118">
        <v>0.0</v>
      </c>
      <c r="G191" s="119">
        <f t="shared" si="39"/>
        <v>0</v>
      </c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1"/>
      <c r="B192" s="1"/>
      <c r="C192" s="112"/>
      <c r="D192" s="117" t="s">
        <v>71</v>
      </c>
      <c r="E192" s="118">
        <v>0.0</v>
      </c>
      <c r="F192" s="118">
        <v>0.0</v>
      </c>
      <c r="G192" s="119">
        <f t="shared" si="39"/>
        <v>0</v>
      </c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1"/>
      <c r="B193" s="1"/>
      <c r="C193" s="112"/>
      <c r="D193" s="117" t="s">
        <v>72</v>
      </c>
      <c r="E193" s="118">
        <v>0.0</v>
      </c>
      <c r="F193" s="118">
        <v>0.0</v>
      </c>
      <c r="G193" s="119">
        <f t="shared" si="39"/>
        <v>0</v>
      </c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1"/>
      <c r="B194" s="1"/>
      <c r="C194" s="112"/>
      <c r="D194" s="117" t="s">
        <v>73</v>
      </c>
      <c r="E194" s="118">
        <v>0.0</v>
      </c>
      <c r="F194" s="118">
        <v>0.0</v>
      </c>
      <c r="G194" s="119">
        <f t="shared" si="39"/>
        <v>0</v>
      </c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1"/>
      <c r="B195" s="1"/>
      <c r="C195" s="112"/>
      <c r="D195" s="117" t="s">
        <v>74</v>
      </c>
      <c r="E195" s="118">
        <v>0.0</v>
      </c>
      <c r="F195" s="118">
        <v>0.0</v>
      </c>
      <c r="G195" s="119">
        <f t="shared" si="39"/>
        <v>0</v>
      </c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1"/>
      <c r="B196" s="1"/>
      <c r="C196" s="112"/>
      <c r="D196" s="117" t="s">
        <v>75</v>
      </c>
      <c r="E196" s="118">
        <v>0.0</v>
      </c>
      <c r="F196" s="118">
        <v>0.0</v>
      </c>
      <c r="G196" s="119">
        <f t="shared" si="39"/>
        <v>0</v>
      </c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1"/>
      <c r="B197" s="1"/>
      <c r="C197" s="112"/>
      <c r="D197" s="117" t="s">
        <v>76</v>
      </c>
      <c r="E197" s="118">
        <v>0.0</v>
      </c>
      <c r="F197" s="118">
        <v>0.0</v>
      </c>
      <c r="G197" s="119">
        <f t="shared" si="39"/>
        <v>0</v>
      </c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1"/>
      <c r="B198" s="1"/>
      <c r="C198" s="112"/>
      <c r="D198" s="117" t="s">
        <v>77</v>
      </c>
      <c r="E198" s="118">
        <v>0.0</v>
      </c>
      <c r="F198" s="118">
        <v>0.0</v>
      </c>
      <c r="G198" s="119">
        <f t="shared" si="39"/>
        <v>0</v>
      </c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1"/>
      <c r="B199" s="1"/>
      <c r="C199" s="112"/>
      <c r="D199" s="117" t="s">
        <v>78</v>
      </c>
      <c r="E199" s="118">
        <v>0.0</v>
      </c>
      <c r="F199" s="118">
        <v>0.0</v>
      </c>
      <c r="G199" s="119">
        <f t="shared" si="39"/>
        <v>0</v>
      </c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1"/>
      <c r="B200" s="1"/>
      <c r="C200" s="112"/>
      <c r="D200" s="117" t="s">
        <v>79</v>
      </c>
      <c r="E200" s="118">
        <v>0.0</v>
      </c>
      <c r="F200" s="118">
        <v>0.0</v>
      </c>
      <c r="G200" s="119">
        <f t="shared" si="39"/>
        <v>0</v>
      </c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1"/>
      <c r="B201" s="1"/>
      <c r="C201" s="112"/>
      <c r="D201" s="117" t="s">
        <v>80</v>
      </c>
      <c r="E201" s="118">
        <v>0.0</v>
      </c>
      <c r="F201" s="118">
        <v>0.0</v>
      </c>
      <c r="G201" s="119">
        <f t="shared" si="39"/>
        <v>0</v>
      </c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1"/>
      <c r="B202" s="1"/>
      <c r="C202" s="112"/>
      <c r="D202" s="117" t="s">
        <v>81</v>
      </c>
      <c r="E202" s="118">
        <v>0.0</v>
      </c>
      <c r="F202" s="118">
        <v>0.0</v>
      </c>
      <c r="G202" s="119">
        <f t="shared" si="39"/>
        <v>0</v>
      </c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1"/>
      <c r="B203" s="1"/>
      <c r="C203" s="112"/>
      <c r="D203" s="117" t="s">
        <v>82</v>
      </c>
      <c r="E203" s="118">
        <v>0.0</v>
      </c>
      <c r="F203" s="118">
        <v>0.0</v>
      </c>
      <c r="G203" s="119">
        <f t="shared" si="39"/>
        <v>0</v>
      </c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1"/>
      <c r="B204" s="1"/>
      <c r="C204" s="112"/>
      <c r="D204" s="117" t="s">
        <v>83</v>
      </c>
      <c r="E204" s="118">
        <v>0.0</v>
      </c>
      <c r="F204" s="118">
        <v>0.0</v>
      </c>
      <c r="G204" s="119">
        <f t="shared" si="39"/>
        <v>0</v>
      </c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1"/>
      <c r="B205" s="1"/>
      <c r="C205" s="112"/>
      <c r="D205" s="111" t="s">
        <v>84</v>
      </c>
      <c r="E205" s="118">
        <v>0.0</v>
      </c>
      <c r="F205" s="118">
        <v>0.0</v>
      </c>
      <c r="G205" s="119">
        <f t="shared" si="39"/>
        <v>0</v>
      </c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1"/>
      <c r="B206" s="1"/>
      <c r="C206" s="112"/>
      <c r="D206" s="111" t="s">
        <v>85</v>
      </c>
      <c r="E206" s="118">
        <v>0.0</v>
      </c>
      <c r="F206" s="118">
        <v>0.0</v>
      </c>
      <c r="G206" s="119">
        <f t="shared" si="39"/>
        <v>0</v>
      </c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1"/>
      <c r="B207" s="1"/>
      <c r="C207" s="112"/>
      <c r="D207" s="111" t="s">
        <v>86</v>
      </c>
      <c r="E207" s="118">
        <v>0.0</v>
      </c>
      <c r="F207" s="118">
        <v>0.0</v>
      </c>
      <c r="G207" s="119">
        <f t="shared" si="39"/>
        <v>0</v>
      </c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1"/>
      <c r="B208" s="1"/>
      <c r="C208" s="112"/>
      <c r="D208" s="111" t="s">
        <v>87</v>
      </c>
      <c r="E208" s="118">
        <v>0.0</v>
      </c>
      <c r="F208" s="118">
        <v>0.0</v>
      </c>
      <c r="G208" s="119">
        <f t="shared" si="39"/>
        <v>0</v>
      </c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1"/>
      <c r="B209" s="1"/>
      <c r="C209" s="112"/>
      <c r="D209" s="111" t="s">
        <v>88</v>
      </c>
      <c r="E209" s="118">
        <v>0.0</v>
      </c>
      <c r="F209" s="118">
        <v>0.0</v>
      </c>
      <c r="G209" s="119">
        <f t="shared" si="39"/>
        <v>0</v>
      </c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1"/>
      <c r="B210" s="1"/>
      <c r="C210" s="112"/>
      <c r="D210" s="111" t="s">
        <v>89</v>
      </c>
      <c r="E210" s="118">
        <v>0.0</v>
      </c>
      <c r="F210" s="118">
        <v>0.0</v>
      </c>
      <c r="G210" s="119">
        <f t="shared" si="39"/>
        <v>0</v>
      </c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1"/>
      <c r="B211" s="1"/>
      <c r="C211" s="112"/>
      <c r="D211" s="120"/>
      <c r="E211" s="118">
        <f t="shared" ref="E211:G211" si="40">SUM(E188:E210)</f>
        <v>0</v>
      </c>
      <c r="F211" s="118">
        <f t="shared" si="40"/>
        <v>0</v>
      </c>
      <c r="G211" s="118">
        <f t="shared" si="40"/>
        <v>0</v>
      </c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1"/>
      <c r="B212" s="1"/>
      <c r="C212" s="112"/>
      <c r="D212" s="112"/>
      <c r="E212" s="112"/>
      <c r="F212" s="103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1"/>
      <c r="B213" s="1"/>
      <c r="C213" s="2"/>
      <c r="D213" s="101"/>
      <c r="E213" s="102"/>
      <c r="F213" s="103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1"/>
      <c r="B214" s="1"/>
      <c r="C214" s="2"/>
      <c r="D214" s="101"/>
      <c r="E214" s="121"/>
      <c r="F214" s="103"/>
      <c r="G214" s="102"/>
      <c r="H214" s="102"/>
      <c r="I214" s="102"/>
      <c r="J214" s="102"/>
      <c r="K214" s="102"/>
      <c r="L214" s="122"/>
      <c r="M214" s="102"/>
      <c r="N214" s="102"/>
      <c r="O214" s="102"/>
      <c r="P214" s="102"/>
      <c r="Q214" s="10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1"/>
      <c r="B215" s="1"/>
      <c r="C215" s="2"/>
      <c r="D215" s="101"/>
      <c r="E215" s="123" t="s">
        <v>90</v>
      </c>
      <c r="F215" s="124"/>
      <c r="G215" s="102"/>
      <c r="H215" s="102"/>
      <c r="I215" s="102"/>
      <c r="J215" s="102"/>
      <c r="K215" s="102"/>
      <c r="L215" s="122"/>
      <c r="M215" s="102"/>
      <c r="N215" s="102"/>
      <c r="O215" s="102"/>
      <c r="P215" s="102"/>
      <c r="Q215" s="10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1"/>
      <c r="B216" s="1"/>
      <c r="C216" s="2"/>
      <c r="D216" s="125"/>
      <c r="E216" s="110"/>
      <c r="F216" s="126" t="s">
        <v>91</v>
      </c>
      <c r="G216" s="127"/>
      <c r="H216" s="126"/>
      <c r="I216" s="126"/>
      <c r="J216" s="126"/>
      <c r="K216" s="126"/>
      <c r="L216" s="122"/>
      <c r="M216" s="102"/>
      <c r="N216" s="102"/>
      <c r="O216" s="102" t="s">
        <v>92</v>
      </c>
      <c r="P216" s="102"/>
      <c r="Q216" s="128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1"/>
      <c r="B217" s="1"/>
      <c r="C217" s="2"/>
      <c r="D217" s="125"/>
      <c r="E217" s="129">
        <v>46206.0</v>
      </c>
      <c r="F217" s="130">
        <v>45869.0</v>
      </c>
      <c r="G217" s="131">
        <v>45900.0</v>
      </c>
      <c r="H217" s="131">
        <v>45930.0</v>
      </c>
      <c r="I217" s="131">
        <v>45961.0</v>
      </c>
      <c r="J217" s="131">
        <v>45991.0</v>
      </c>
      <c r="K217" s="131">
        <v>46022.0</v>
      </c>
      <c r="L217" s="131">
        <v>46053.0</v>
      </c>
      <c r="M217" s="131">
        <v>46081.0</v>
      </c>
      <c r="N217" s="131">
        <v>46112.0</v>
      </c>
      <c r="O217" s="131">
        <v>46132.0</v>
      </c>
      <c r="P217" s="2"/>
      <c r="Q217" s="2"/>
      <c r="R217" s="2"/>
      <c r="S217" s="2"/>
      <c r="T217" s="2"/>
      <c r="U217" s="2"/>
      <c r="V217" s="2"/>
      <c r="W217" s="2"/>
    </row>
    <row r="218" ht="14.25" customHeight="1">
      <c r="A218" s="1"/>
      <c r="B218" s="1"/>
      <c r="C218" s="2"/>
      <c r="D218" s="101"/>
      <c r="E218" s="132"/>
      <c r="F218" s="133" t="s">
        <v>93</v>
      </c>
      <c r="G218" s="134" t="s">
        <v>91</v>
      </c>
      <c r="H218" s="135" t="s">
        <v>94</v>
      </c>
      <c r="I218" s="135" t="s">
        <v>95</v>
      </c>
      <c r="J218" s="135" t="s">
        <v>96</v>
      </c>
      <c r="K218" s="135" t="s">
        <v>97</v>
      </c>
      <c r="L218" s="135" t="s">
        <v>98</v>
      </c>
      <c r="M218" s="136">
        <v>0.029</v>
      </c>
      <c r="N218" s="136">
        <v>0.034</v>
      </c>
      <c r="O218" s="135">
        <v>2.3</v>
      </c>
      <c r="P218" s="2"/>
      <c r="Q218" s="2"/>
      <c r="R218" s="2"/>
      <c r="S218" s="2"/>
      <c r="T218" s="2"/>
      <c r="U218" s="2"/>
      <c r="V218" s="2"/>
      <c r="W218" s="2"/>
    </row>
    <row r="219" ht="14.25" customHeight="1">
      <c r="A219" s="1"/>
      <c r="B219" s="1"/>
      <c r="C219" s="2"/>
      <c r="D219" s="101"/>
      <c r="E219" s="137"/>
      <c r="F219" s="138"/>
      <c r="G219" s="120"/>
      <c r="H219" s="120"/>
      <c r="I219" s="120"/>
      <c r="J219" s="120"/>
      <c r="K219" s="120"/>
      <c r="L219" s="120"/>
      <c r="M219" s="120"/>
      <c r="N219" s="120"/>
      <c r="O219" s="120"/>
      <c r="P219" s="2"/>
      <c r="Q219" s="2"/>
      <c r="R219" s="2"/>
      <c r="S219" s="2"/>
      <c r="T219" s="2"/>
      <c r="U219" s="2"/>
      <c r="V219" s="2"/>
      <c r="W219" s="2"/>
    </row>
    <row r="220" ht="14.25" customHeight="1">
      <c r="A220" s="1"/>
      <c r="B220" s="1"/>
      <c r="C220" s="2"/>
      <c r="D220" s="102"/>
      <c r="E220" s="137"/>
      <c r="F220" s="139" t="s">
        <v>99</v>
      </c>
      <c r="G220" s="120"/>
      <c r="H220" s="120"/>
      <c r="I220" s="120"/>
      <c r="J220" s="120"/>
      <c r="K220" s="120"/>
      <c r="L220" s="120"/>
      <c r="M220" s="120"/>
      <c r="N220" s="140"/>
      <c r="O220" s="140" t="s">
        <v>100</v>
      </c>
      <c r="P220" s="2"/>
      <c r="Q220" s="2"/>
      <c r="R220" s="2"/>
      <c r="S220" s="2"/>
      <c r="T220" s="2"/>
      <c r="U220" s="2"/>
      <c r="V220" s="2"/>
      <c r="W220" s="2"/>
    </row>
    <row r="221" ht="14.25" customHeight="1">
      <c r="A221" s="1"/>
      <c r="B221" s="1"/>
      <c r="C221" s="2"/>
      <c r="D221" s="141"/>
      <c r="E221" s="137"/>
      <c r="F221" s="138"/>
      <c r="G221" s="120"/>
      <c r="H221" s="120"/>
      <c r="I221" s="120"/>
      <c r="J221" s="120"/>
      <c r="K221" s="120"/>
      <c r="L221" s="120"/>
      <c r="M221" s="120"/>
      <c r="N221" s="120"/>
      <c r="O221" s="120"/>
      <c r="P221" s="2"/>
      <c r="Q221" s="2"/>
      <c r="R221" s="2"/>
      <c r="S221" s="2"/>
      <c r="T221" s="2"/>
      <c r="U221" s="2"/>
      <c r="V221" s="2"/>
      <c r="W221" s="2"/>
    </row>
    <row r="222" ht="14.25" customHeight="1">
      <c r="A222" s="1"/>
      <c r="B222" s="1"/>
      <c r="C222" s="2"/>
      <c r="D222" s="102"/>
      <c r="E222" s="137"/>
      <c r="F222" s="138"/>
      <c r="G222" s="120"/>
      <c r="H222" s="120"/>
      <c r="I222" s="120"/>
      <c r="J222" s="120"/>
      <c r="K222" s="120"/>
      <c r="L222" s="120"/>
      <c r="M222" s="120"/>
      <c r="N222" s="120"/>
      <c r="O222" s="120"/>
      <c r="P222" s="2"/>
      <c r="Q222" s="2"/>
      <c r="R222" s="2"/>
      <c r="S222" s="2"/>
      <c r="T222" s="2"/>
      <c r="U222" s="2"/>
      <c r="V222" s="2"/>
      <c r="W222" s="2"/>
    </row>
    <row r="223" ht="14.25" customHeight="1">
      <c r="A223" s="1"/>
      <c r="B223" s="1"/>
      <c r="C223" s="2"/>
      <c r="D223" s="102"/>
      <c r="E223" s="142">
        <v>0.0</v>
      </c>
      <c r="F223" s="143">
        <f>E223*1.0168</f>
        <v>0</v>
      </c>
      <c r="G223" s="144">
        <f>F223*1.019</f>
        <v>0</v>
      </c>
      <c r="H223" s="144">
        <f>G223*1.021</f>
        <v>0</v>
      </c>
      <c r="I223" s="144">
        <f>H223*1.023</f>
        <v>0</v>
      </c>
      <c r="J223" s="144">
        <f>I223*1.025</f>
        <v>0</v>
      </c>
      <c r="K223" s="144">
        <f>J223*1.022</f>
        <v>0</v>
      </c>
      <c r="L223" s="144">
        <f t="shared" ref="L223:M223" si="41">K223*1.029</f>
        <v>0</v>
      </c>
      <c r="M223" s="144">
        <f t="shared" si="41"/>
        <v>0</v>
      </c>
      <c r="N223" s="144">
        <f>M223*1.034</f>
        <v>0</v>
      </c>
      <c r="O223" s="119">
        <f>N223*1.023</f>
        <v>0</v>
      </c>
      <c r="P223" s="2"/>
      <c r="Q223" s="2"/>
      <c r="R223" s="2"/>
      <c r="S223" s="2"/>
      <c r="T223" s="2"/>
      <c r="U223" s="2"/>
      <c r="V223" s="2"/>
      <c r="W223" s="2"/>
    </row>
    <row r="224" ht="14.25" customHeight="1">
      <c r="A224" s="1"/>
      <c r="B224" s="1"/>
      <c r="C224" s="2"/>
      <c r="D224" s="102"/>
      <c r="E224" s="145"/>
      <c r="F224" s="145"/>
      <c r="G224" s="145"/>
      <c r="H224" s="145"/>
      <c r="I224" s="145"/>
      <c r="J224" s="145"/>
      <c r="K224" s="145"/>
      <c r="L224" s="122"/>
      <c r="M224" s="102"/>
      <c r="N224" s="102"/>
      <c r="O224" s="102"/>
      <c r="P224" s="102"/>
      <c r="Q224" s="10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1"/>
      <c r="B225" s="1"/>
      <c r="C225" s="2"/>
      <c r="D225" s="141"/>
      <c r="E225" s="102"/>
      <c r="F225" s="102"/>
      <c r="G225" s="102"/>
      <c r="H225" s="102"/>
      <c r="I225" s="102"/>
      <c r="J225" s="102"/>
      <c r="K225" s="102"/>
      <c r="L225" s="102"/>
      <c r="M225" s="146" t="s">
        <v>101</v>
      </c>
      <c r="N225" s="147" t="s">
        <v>89</v>
      </c>
      <c r="O225" s="148">
        <v>0.0</v>
      </c>
      <c r="P225" s="2"/>
      <c r="Q225" s="2"/>
      <c r="R225" s="2"/>
      <c r="S225" s="2"/>
      <c r="T225" s="2"/>
      <c r="U225" s="2"/>
      <c r="V225" s="2"/>
      <c r="W225" s="2"/>
      <c r="X225" s="2"/>
    </row>
    <row r="226" ht="14.25" customHeight="1">
      <c r="A226" s="1"/>
      <c r="B226" s="1"/>
      <c r="C226" s="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47" t="s">
        <v>89</v>
      </c>
      <c r="O226" s="148">
        <v>0.0</v>
      </c>
      <c r="P226" s="2"/>
      <c r="Q226" s="2"/>
      <c r="R226" s="2"/>
      <c r="S226" s="2"/>
      <c r="T226" s="2"/>
      <c r="U226" s="2"/>
      <c r="V226" s="2"/>
      <c r="W226" s="2"/>
      <c r="X226" s="2"/>
    </row>
    <row r="227" ht="14.25" customHeight="1">
      <c r="A227" s="1"/>
      <c r="B227" s="1"/>
      <c r="C227" s="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47" t="s">
        <v>89</v>
      </c>
      <c r="O227" s="148">
        <v>0.0</v>
      </c>
      <c r="P227" s="2"/>
      <c r="Q227" s="2"/>
      <c r="R227" s="2"/>
      <c r="S227" s="2"/>
      <c r="T227" s="2"/>
      <c r="U227" s="2"/>
      <c r="V227" s="2"/>
      <c r="W227" s="2"/>
      <c r="X227" s="2"/>
    </row>
    <row r="228" ht="14.25" customHeight="1">
      <c r="A228" s="1"/>
      <c r="B228" s="1"/>
      <c r="C228" s="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2"/>
      <c r="Q228" s="2"/>
      <c r="R228" s="2"/>
      <c r="S228" s="2"/>
      <c r="T228" s="2"/>
      <c r="U228" s="2"/>
      <c r="V228" s="2"/>
      <c r="W228" s="2"/>
      <c r="X228" s="2"/>
    </row>
    <row r="229" ht="14.25" customHeight="1">
      <c r="A229" s="1"/>
      <c r="B229" s="1"/>
      <c r="C229" s="2"/>
      <c r="D229" s="102"/>
      <c r="E229" s="102"/>
      <c r="F229" s="102"/>
      <c r="G229" s="102"/>
      <c r="H229" s="102"/>
      <c r="I229" s="102"/>
      <c r="J229" s="149"/>
      <c r="K229" s="102"/>
      <c r="L229" s="102"/>
      <c r="M229" s="102"/>
      <c r="N229" s="150" t="s">
        <v>41</v>
      </c>
      <c r="O229" s="151">
        <f>O223+O225+O226+O227</f>
        <v>0</v>
      </c>
      <c r="P229" s="2"/>
      <c r="Q229" s="2"/>
      <c r="R229" s="2"/>
      <c r="S229" s="2"/>
      <c r="T229" s="2"/>
      <c r="U229" s="2"/>
      <c r="V229" s="2"/>
      <c r="W229" s="2"/>
      <c r="X229" s="2"/>
    </row>
    <row r="230" ht="14.25" customHeight="1">
      <c r="A230" s="1"/>
      <c r="B230" s="1"/>
      <c r="C230" s="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</sheetData>
  <mergeCells count="18">
    <mergeCell ref="D4:E4"/>
    <mergeCell ref="G4:H4"/>
    <mergeCell ref="D5:E5"/>
    <mergeCell ref="G5:H5"/>
    <mergeCell ref="D6:E6"/>
    <mergeCell ref="G6:H6"/>
    <mergeCell ref="G7:H7"/>
    <mergeCell ref="G8:H8"/>
    <mergeCell ref="D14:E14"/>
    <mergeCell ref="C17:C18"/>
    <mergeCell ref="O17:O18"/>
    <mergeCell ref="D7:E7"/>
    <mergeCell ref="D8:E8"/>
    <mergeCell ref="D9:E9"/>
    <mergeCell ref="D10:E10"/>
    <mergeCell ref="D11:E11"/>
    <mergeCell ref="D12:E12"/>
    <mergeCell ref="D13:E1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2022-04-11T13:22:31Z</dcterms:created>
  <dc:creator>DELL</dc:creator>
</cp:coreProperties>
</file>